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Деп экономики\_Общая папка\2025\Корреспонденция\2025 06 26 ЖСВ №МР5.3100.ВН-ХХХ - о прейскур_с 01.07.2025\"/>
    </mc:Choice>
  </mc:AlternateContent>
  <bookViews>
    <workbookView xWindow="0" yWindow="0" windowWidth="16845" windowHeight="7290"/>
  </bookViews>
  <sheets>
    <sheet name="Прил_7" sheetId="4" r:id="rId1"/>
    <sheet name="Прил_8 " sheetId="5" r:id="rId2"/>
  </sheets>
  <definedNames>
    <definedName name="_xlnm._FilterDatabase" localSheetId="0" hidden="1">Прил_7!$A$13:$H$543</definedName>
    <definedName name="_xlnm._FilterDatabase" localSheetId="1" hidden="1">'Прил_8 '!$A$15:$WUZ$74</definedName>
    <definedName name="_xlnm.Print_Area" localSheetId="0">Прил_7!$A$1:$F$543</definedName>
    <definedName name="_xlnm.Print_Area" localSheetId="1">'Прил_8 '!$A$1:$H$76</definedName>
  </definedNames>
  <calcPr calcId="162913"/>
</workbook>
</file>

<file path=xl/calcChain.xml><?xml version="1.0" encoding="utf-8"?>
<calcChain xmlns="http://schemas.openxmlformats.org/spreadsheetml/2006/main">
  <c r="E54" i="5" l="1"/>
  <c r="D54" i="5"/>
  <c r="E58" i="5"/>
  <c r="D58" i="5"/>
  <c r="E62" i="5"/>
  <c r="D62" i="5"/>
  <c r="F70" i="5"/>
  <c r="G70" i="5"/>
  <c r="H70" i="5" s="1"/>
  <c r="F71" i="5"/>
  <c r="G71" i="5" s="1"/>
  <c r="F72" i="5"/>
  <c r="H72" i="5" s="1"/>
  <c r="G72" i="5"/>
  <c r="H71" i="5" l="1"/>
  <c r="F69" i="5" l="1"/>
  <c r="F68" i="5"/>
  <c r="F67" i="5"/>
  <c r="F66" i="5"/>
  <c r="G66" i="5" s="1"/>
  <c r="H66" i="5" s="1"/>
  <c r="G67" i="5" l="1"/>
  <c r="H67" i="5" s="1"/>
  <c r="G69" i="5"/>
  <c r="H69" i="5" s="1"/>
  <c r="G68" i="5"/>
  <c r="H68" i="5" s="1"/>
  <c r="E516" i="4" l="1"/>
  <c r="F516" i="4" l="1"/>
  <c r="E440" i="4"/>
  <c r="F440" i="4" l="1"/>
  <c r="E219" i="4" l="1"/>
  <c r="E218" i="4"/>
  <c r="E217" i="4"/>
  <c r="E216" i="4"/>
  <c r="E215" i="4"/>
  <c r="E214" i="4"/>
  <c r="E213" i="4"/>
  <c r="E212" i="4"/>
  <c r="E211" i="4"/>
  <c r="E210" i="4"/>
  <c r="E208" i="4"/>
  <c r="E207" i="4"/>
  <c r="E206" i="4"/>
  <c r="E205" i="4"/>
  <c r="E204" i="4"/>
  <c r="E202" i="4"/>
  <c r="E201" i="4"/>
  <c r="E200" i="4"/>
  <c r="E198" i="4"/>
  <c r="E197" i="4"/>
  <c r="E196" i="4"/>
  <c r="E195" i="4"/>
  <c r="E194" i="4"/>
  <c r="E193" i="4"/>
  <c r="E192" i="4"/>
  <c r="E191" i="4"/>
  <c r="E190" i="4"/>
  <c r="E189" i="4"/>
  <c r="E187" i="4"/>
  <c r="E186" i="4"/>
  <c r="E185" i="4"/>
  <c r="E184" i="4"/>
  <c r="E183" i="4"/>
  <c r="E182" i="4"/>
  <c r="E181" i="4"/>
  <c r="E180" i="4"/>
  <c r="E179" i="4"/>
  <c r="E178" i="4"/>
  <c r="E176" i="4"/>
  <c r="E175" i="4"/>
  <c r="E174" i="4"/>
  <c r="E173" i="4"/>
  <c r="E172" i="4"/>
  <c r="E171" i="4"/>
  <c r="E169" i="4"/>
  <c r="E168" i="4"/>
  <c r="E167" i="4"/>
  <c r="E166" i="4"/>
  <c r="E165" i="4"/>
  <c r="E164" i="4"/>
  <c r="E163" i="4"/>
  <c r="E161" i="4"/>
  <c r="E160" i="4"/>
  <c r="E159" i="4"/>
  <c r="E158" i="4"/>
  <c r="E157" i="4"/>
  <c r="E156" i="4"/>
  <c r="E155" i="4"/>
  <c r="E154" i="4"/>
  <c r="E153" i="4"/>
  <c r="E152" i="4"/>
  <c r="E151" i="4"/>
  <c r="E149" i="4"/>
  <c r="E148" i="4"/>
  <c r="E147" i="4"/>
  <c r="E146" i="4"/>
  <c r="E145" i="4"/>
  <c r="E144" i="4"/>
  <c r="E143" i="4"/>
  <c r="E142" i="4"/>
  <c r="E141" i="4"/>
  <c r="E140" i="4"/>
  <c r="E139" i="4"/>
  <c r="E137" i="4"/>
  <c r="E136" i="4"/>
  <c r="E135" i="4"/>
  <c r="E134" i="4"/>
  <c r="E133" i="4"/>
  <c r="E132" i="4"/>
  <c r="E131" i="4"/>
  <c r="E130" i="4"/>
  <c r="E129" i="4"/>
  <c r="E128" i="4"/>
  <c r="E127" i="4"/>
  <c r="E125" i="4"/>
  <c r="E124" i="4"/>
  <c r="E123" i="4"/>
  <c r="E121" i="4"/>
  <c r="E120" i="4"/>
  <c r="E119" i="4"/>
  <c r="E117" i="4"/>
  <c r="E116" i="4"/>
  <c r="E115" i="4"/>
  <c r="D332" i="4" l="1"/>
  <c r="D385" i="4" l="1"/>
  <c r="D336" i="4"/>
  <c r="D394" i="4"/>
  <c r="D431" i="4"/>
  <c r="D340" i="4"/>
  <c r="D403" i="4"/>
  <c r="D378" i="4"/>
  <c r="D411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F278" i="4" l="1"/>
  <c r="F286" i="4"/>
  <c r="F298" i="4"/>
  <c r="F275" i="4"/>
  <c r="F279" i="4"/>
  <c r="F283" i="4"/>
  <c r="F287" i="4"/>
  <c r="F291" i="4"/>
  <c r="F295" i="4"/>
  <c r="F299" i="4"/>
  <c r="F303" i="4"/>
  <c r="F307" i="4"/>
  <c r="F311" i="4"/>
  <c r="F315" i="4"/>
  <c r="F319" i="4"/>
  <c r="F323" i="4"/>
  <c r="F282" i="4"/>
  <c r="F294" i="4"/>
  <c r="F306" i="4"/>
  <c r="F310" i="4"/>
  <c r="F314" i="4"/>
  <c r="F318" i="4"/>
  <c r="F280" i="4"/>
  <c r="F284" i="4"/>
  <c r="F288" i="4"/>
  <c r="F292" i="4"/>
  <c r="F296" i="4"/>
  <c r="F300" i="4"/>
  <c r="F304" i="4"/>
  <c r="F308" i="4"/>
  <c r="F312" i="4"/>
  <c r="F316" i="4"/>
  <c r="F320" i="4"/>
  <c r="F274" i="4"/>
  <c r="F290" i="4"/>
  <c r="F302" i="4"/>
  <c r="F322" i="4"/>
  <c r="F276" i="4"/>
  <c r="F273" i="4"/>
  <c r="F277" i="4"/>
  <c r="F281" i="4"/>
  <c r="F285" i="4"/>
  <c r="F289" i="4"/>
  <c r="F293" i="4"/>
  <c r="F297" i="4"/>
  <c r="F301" i="4"/>
  <c r="F305" i="4"/>
  <c r="F309" i="4"/>
  <c r="F313" i="4"/>
  <c r="F317" i="4"/>
  <c r="F321" i="4"/>
  <c r="E269" i="4"/>
  <c r="E268" i="4"/>
  <c r="E267" i="4"/>
  <c r="E266" i="4"/>
  <c r="E265" i="4"/>
  <c r="E263" i="4"/>
  <c r="E262" i="4"/>
  <c r="E261" i="4"/>
  <c r="E260" i="4"/>
  <c r="E259" i="4"/>
  <c r="E257" i="4"/>
  <c r="E256" i="4"/>
  <c r="E255" i="4"/>
  <c r="E254" i="4"/>
  <c r="E253" i="4"/>
  <c r="E252" i="4"/>
  <c r="E251" i="4"/>
  <c r="E250" i="4"/>
  <c r="E249" i="4"/>
  <c r="E248" i="4"/>
  <c r="E246" i="4"/>
  <c r="E245" i="4"/>
  <c r="E244" i="4"/>
  <c r="E243" i="4"/>
  <c r="E242" i="4"/>
  <c r="E241" i="4"/>
  <c r="E240" i="4"/>
  <c r="E239" i="4"/>
  <c r="E238" i="4"/>
  <c r="E237" i="4"/>
  <c r="E235" i="4"/>
  <c r="E234" i="4"/>
  <c r="F237" i="4" l="1"/>
  <c r="F245" i="4"/>
  <c r="F259" i="4"/>
  <c r="F268" i="4"/>
  <c r="F238" i="4"/>
  <c r="F242" i="4"/>
  <c r="F246" i="4"/>
  <c r="F251" i="4"/>
  <c r="F255" i="4"/>
  <c r="F260" i="4"/>
  <c r="F265" i="4"/>
  <c r="F269" i="4"/>
  <c r="F241" i="4"/>
  <c r="F254" i="4"/>
  <c r="F263" i="4"/>
  <c r="F234" i="4"/>
  <c r="F239" i="4"/>
  <c r="F243" i="4"/>
  <c r="F248" i="4"/>
  <c r="F252" i="4"/>
  <c r="F256" i="4"/>
  <c r="F261" i="4"/>
  <c r="F266" i="4"/>
  <c r="F250" i="4"/>
  <c r="F235" i="4"/>
  <c r="F240" i="4"/>
  <c r="F244" i="4"/>
  <c r="F249" i="4"/>
  <c r="F253" i="4"/>
  <c r="F257" i="4"/>
  <c r="F262" i="4"/>
  <c r="F267" i="4"/>
  <c r="F55" i="5"/>
  <c r="F56" i="5"/>
  <c r="F54" i="5" l="1"/>
  <c r="E538" i="4"/>
  <c r="E539" i="4"/>
  <c r="F539" i="4" l="1"/>
  <c r="F538" i="4"/>
  <c r="F51" i="5"/>
  <c r="F50" i="5"/>
  <c r="F49" i="5"/>
  <c r="F48" i="5"/>
  <c r="F47" i="5"/>
  <c r="F46" i="5"/>
  <c r="G49" i="5" l="1"/>
  <c r="H49" i="5" s="1"/>
  <c r="G46" i="5"/>
  <c r="H46" i="5" s="1"/>
  <c r="G50" i="5"/>
  <c r="H50" i="5" s="1"/>
  <c r="G48" i="5"/>
  <c r="H48" i="5" s="1"/>
  <c r="G47" i="5"/>
  <c r="H47" i="5" s="1"/>
  <c r="G51" i="5"/>
  <c r="H51" i="5" s="1"/>
  <c r="E113" i="4"/>
  <c r="E112" i="4"/>
  <c r="F113" i="4" l="1"/>
  <c r="F112" i="4"/>
  <c r="F44" i="5"/>
  <c r="F43" i="5"/>
  <c r="F42" i="5"/>
  <c r="F41" i="5"/>
  <c r="F40" i="5"/>
  <c r="F39" i="5"/>
  <c r="F37" i="5"/>
  <c r="F36" i="5"/>
  <c r="F35" i="5"/>
  <c r="F34" i="5"/>
  <c r="F33" i="5"/>
  <c r="F32" i="5"/>
  <c r="G42" i="5" l="1"/>
  <c r="H42" i="5" s="1"/>
  <c r="G39" i="5"/>
  <c r="H39" i="5" s="1"/>
  <c r="G43" i="5"/>
  <c r="H43" i="5" s="1"/>
  <c r="G35" i="5"/>
  <c r="H35" i="5" s="1"/>
  <c r="G32" i="5"/>
  <c r="H32" i="5" s="1"/>
  <c r="G36" i="5"/>
  <c r="H36" i="5" s="1"/>
  <c r="G41" i="5"/>
  <c r="G40" i="5"/>
  <c r="H40" i="5" s="1"/>
  <c r="G44" i="5"/>
  <c r="H44" i="5" s="1"/>
  <c r="G34" i="5"/>
  <c r="H34" i="5" s="1"/>
  <c r="G33" i="5"/>
  <c r="H33" i="5" s="1"/>
  <c r="G37" i="5"/>
  <c r="H37" i="5" s="1"/>
  <c r="H41" i="5" l="1"/>
  <c r="F219" i="4"/>
  <c r="F218" i="4"/>
  <c r="F217" i="4"/>
  <c r="F216" i="4"/>
  <c r="F215" i="4"/>
  <c r="F214" i="4"/>
  <c r="F213" i="4"/>
  <c r="F212" i="4"/>
  <c r="F211" i="4"/>
  <c r="F210" i="4"/>
  <c r="F208" i="4"/>
  <c r="F207" i="4"/>
  <c r="F206" i="4"/>
  <c r="F205" i="4"/>
  <c r="F204" i="4"/>
  <c r="F202" i="4"/>
  <c r="F201" i="4"/>
  <c r="F200" i="4"/>
  <c r="F198" i="4"/>
  <c r="F197" i="4"/>
  <c r="F196" i="4"/>
  <c r="F195" i="4"/>
  <c r="F194" i="4"/>
  <c r="F193" i="4"/>
  <c r="F192" i="4"/>
  <c r="F191" i="4"/>
  <c r="F190" i="4"/>
  <c r="F189" i="4"/>
  <c r="F187" i="4"/>
  <c r="F186" i="4"/>
  <c r="F185" i="4"/>
  <c r="F184" i="4"/>
  <c r="F183" i="4"/>
  <c r="F182" i="4"/>
  <c r="F181" i="4"/>
  <c r="F180" i="4"/>
  <c r="F179" i="4"/>
  <c r="F178" i="4"/>
  <c r="F176" i="4"/>
  <c r="F175" i="4"/>
  <c r="F174" i="4"/>
  <c r="F173" i="4"/>
  <c r="F172" i="4"/>
  <c r="F171" i="4"/>
  <c r="F169" i="4"/>
  <c r="F168" i="4"/>
  <c r="F167" i="4"/>
  <c r="F166" i="4"/>
  <c r="F165" i="4"/>
  <c r="F164" i="4"/>
  <c r="F163" i="4"/>
  <c r="F161" i="4"/>
  <c r="F160" i="4"/>
  <c r="F159" i="4"/>
  <c r="F158" i="4"/>
  <c r="F157" i="4"/>
  <c r="F156" i="4"/>
  <c r="F155" i="4"/>
  <c r="F154" i="4"/>
  <c r="F153" i="4"/>
  <c r="F152" i="4"/>
  <c r="F151" i="4"/>
  <c r="F149" i="4"/>
  <c r="F148" i="4"/>
  <c r="F147" i="4"/>
  <c r="F146" i="4"/>
  <c r="F145" i="4"/>
  <c r="F144" i="4"/>
  <c r="F143" i="4"/>
  <c r="F142" i="4"/>
  <c r="F141" i="4"/>
  <c r="F140" i="4"/>
  <c r="F139" i="4"/>
  <c r="F137" i="4"/>
  <c r="F136" i="4"/>
  <c r="F135" i="4"/>
  <c r="F134" i="4"/>
  <c r="F133" i="4"/>
  <c r="F132" i="4"/>
  <c r="F131" i="4"/>
  <c r="F130" i="4"/>
  <c r="F129" i="4"/>
  <c r="F128" i="4"/>
  <c r="F127" i="4"/>
  <c r="F125" i="4"/>
  <c r="F124" i="4"/>
  <c r="F123" i="4"/>
  <c r="F121" i="4"/>
  <c r="F120" i="4"/>
  <c r="F119" i="4"/>
  <c r="F117" i="4"/>
  <c r="F116" i="4"/>
  <c r="F115" i="4"/>
  <c r="E110" i="4"/>
  <c r="E109" i="4"/>
  <c r="E108" i="4"/>
  <c r="E107" i="4"/>
  <c r="E106" i="4"/>
  <c r="E105" i="4"/>
  <c r="E104" i="4"/>
  <c r="E103" i="4"/>
  <c r="E101" i="4"/>
  <c r="E100" i="4"/>
  <c r="E98" i="4"/>
  <c r="E97" i="4"/>
  <c r="E95" i="4"/>
  <c r="E94" i="4"/>
  <c r="E92" i="4"/>
  <c r="E91" i="4"/>
  <c r="E89" i="4"/>
  <c r="E88" i="4"/>
  <c r="E86" i="4"/>
  <c r="E85" i="4"/>
  <c r="E83" i="4"/>
  <c r="E82" i="4"/>
  <c r="E81" i="4"/>
  <c r="E80" i="4"/>
  <c r="E78" i="4"/>
  <c r="E77" i="4"/>
  <c r="E76" i="4"/>
  <c r="E75" i="4"/>
  <c r="E74" i="4"/>
  <c r="E73" i="4"/>
  <c r="E72" i="4"/>
  <c r="E70" i="4"/>
  <c r="E69" i="4"/>
  <c r="E68" i="4"/>
  <c r="E67" i="4"/>
  <c r="E66" i="4"/>
  <c r="E65" i="4"/>
  <c r="E64" i="4"/>
  <c r="E62" i="4"/>
  <c r="E61" i="4"/>
  <c r="E60" i="4"/>
  <c r="E58" i="4"/>
  <c r="E57" i="4"/>
  <c r="E56" i="4"/>
  <c r="E54" i="4"/>
  <c r="E53" i="4"/>
  <c r="E52" i="4"/>
  <c r="E50" i="4"/>
  <c r="E49" i="4"/>
  <c r="E48" i="4"/>
  <c r="E46" i="4"/>
  <c r="E45" i="4"/>
  <c r="E44" i="4"/>
  <c r="F52" i="4" l="1"/>
  <c r="F62" i="4"/>
  <c r="F76" i="4"/>
  <c r="F92" i="4"/>
  <c r="F108" i="4"/>
  <c r="F48" i="4"/>
  <c r="F53" i="4"/>
  <c r="F58" i="4"/>
  <c r="F64" i="4"/>
  <c r="F68" i="4"/>
  <c r="F73" i="4"/>
  <c r="F77" i="4"/>
  <c r="F82" i="4"/>
  <c r="F88" i="4"/>
  <c r="F94" i="4"/>
  <c r="F100" i="4"/>
  <c r="F105" i="4"/>
  <c r="F109" i="4"/>
  <c r="F46" i="4"/>
  <c r="F67" i="4"/>
  <c r="F86" i="4"/>
  <c r="F104" i="4"/>
  <c r="F44" i="4"/>
  <c r="F54" i="4"/>
  <c r="F60" i="4"/>
  <c r="F65" i="4"/>
  <c r="F69" i="4"/>
  <c r="F74" i="4"/>
  <c r="F78" i="4"/>
  <c r="F83" i="4"/>
  <c r="F89" i="4"/>
  <c r="F95" i="4"/>
  <c r="F101" i="4"/>
  <c r="F106" i="4"/>
  <c r="F110" i="4"/>
  <c r="F57" i="4"/>
  <c r="F72" i="4"/>
  <c r="F81" i="4"/>
  <c r="F98" i="4"/>
  <c r="F49" i="4"/>
  <c r="F45" i="4"/>
  <c r="F50" i="4"/>
  <c r="F56" i="4"/>
  <c r="F61" i="4"/>
  <c r="F66" i="4"/>
  <c r="F70" i="4"/>
  <c r="F75" i="4"/>
  <c r="F80" i="4"/>
  <c r="F85" i="4"/>
  <c r="F91" i="4"/>
  <c r="F97" i="4"/>
  <c r="F103" i="4"/>
  <c r="F107" i="4"/>
  <c r="E30" i="4"/>
  <c r="E29" i="4"/>
  <c r="E27" i="4"/>
  <c r="E26" i="4"/>
  <c r="E25" i="4"/>
  <c r="E24" i="4"/>
  <c r="F25" i="4" l="1"/>
  <c r="F30" i="4"/>
  <c r="F24" i="4"/>
  <c r="F26" i="4"/>
  <c r="F29" i="4"/>
  <c r="F27" i="4"/>
  <c r="E231" i="4" l="1"/>
  <c r="F231" i="4" l="1"/>
  <c r="E405" i="4"/>
  <c r="E406" i="4"/>
  <c r="E407" i="4"/>
  <c r="E408" i="4"/>
  <c r="E409" i="4"/>
  <c r="E410" i="4"/>
  <c r="E421" i="4" l="1"/>
  <c r="F421" i="4" l="1"/>
  <c r="F30" i="5"/>
  <c r="F29" i="5"/>
  <c r="F28" i="5"/>
  <c r="F27" i="5"/>
  <c r="F26" i="5"/>
  <c r="F25" i="5"/>
  <c r="F23" i="5"/>
  <c r="F22" i="5"/>
  <c r="F21" i="5"/>
  <c r="F20" i="5"/>
  <c r="F19" i="5"/>
  <c r="F18" i="5"/>
  <c r="F64" i="5"/>
  <c r="F63" i="5"/>
  <c r="F60" i="5"/>
  <c r="F59" i="5"/>
  <c r="G56" i="5"/>
  <c r="G55" i="5"/>
  <c r="F62" i="5" l="1"/>
  <c r="G25" i="5"/>
  <c r="G21" i="5"/>
  <c r="H21" i="5" s="1"/>
  <c r="G30" i="5"/>
  <c r="H30" i="5" s="1"/>
  <c r="G18" i="5"/>
  <c r="H18" i="5" s="1"/>
  <c r="G22" i="5"/>
  <c r="H22" i="5" s="1"/>
  <c r="G28" i="5"/>
  <c r="H28" i="5" s="1"/>
  <c r="H56" i="5"/>
  <c r="G26" i="5"/>
  <c r="G19" i="5"/>
  <c r="H19" i="5" s="1"/>
  <c r="G59" i="5"/>
  <c r="F58" i="5"/>
  <c r="H55" i="5"/>
  <c r="G54" i="5"/>
  <c r="G63" i="5"/>
  <c r="G64" i="5"/>
  <c r="H64" i="5" s="1"/>
  <c r="G27" i="5"/>
  <c r="H27" i="5" s="1"/>
  <c r="H25" i="5"/>
  <c r="G60" i="5"/>
  <c r="H60" i="5" s="1"/>
  <c r="G20" i="5"/>
  <c r="H20" i="5" s="1"/>
  <c r="G29" i="5"/>
  <c r="H29" i="5" s="1"/>
  <c r="G23" i="5"/>
  <c r="H23" i="5" s="1"/>
  <c r="H54" i="5" l="1"/>
  <c r="H26" i="5"/>
  <c r="H63" i="5"/>
  <c r="G62" i="5"/>
  <c r="H59" i="5"/>
  <c r="G58" i="5"/>
  <c r="H58" i="5" s="1"/>
  <c r="E37" i="4"/>
  <c r="E230" i="4"/>
  <c r="E229" i="4"/>
  <c r="E228" i="4"/>
  <c r="E227" i="4"/>
  <c r="E226" i="4"/>
  <c r="E225" i="4"/>
  <c r="E224" i="4"/>
  <c r="E223" i="4"/>
  <c r="E222" i="4"/>
  <c r="H62" i="5" l="1"/>
  <c r="F225" i="4"/>
  <c r="F229" i="4"/>
  <c r="F228" i="4"/>
  <c r="F222" i="4"/>
  <c r="F226" i="4"/>
  <c r="F230" i="4"/>
  <c r="F224" i="4"/>
  <c r="F223" i="4"/>
  <c r="F227" i="4"/>
  <c r="F37" i="4"/>
  <c r="E431" i="4"/>
  <c r="E430" i="4"/>
  <c r="E429" i="4"/>
  <c r="E428" i="4"/>
  <c r="E427" i="4"/>
  <c r="E426" i="4"/>
  <c r="E424" i="4"/>
  <c r="E423" i="4"/>
  <c r="E422" i="4"/>
  <c r="E420" i="4"/>
  <c r="E437" i="4"/>
  <c r="E436" i="4"/>
  <c r="E435" i="4"/>
  <c r="E452" i="4"/>
  <c r="E451" i="4"/>
  <c r="F423" i="4" l="1"/>
  <c r="F451" i="4"/>
  <c r="F437" i="4"/>
  <c r="F424" i="4"/>
  <c r="F429" i="4"/>
  <c r="F428" i="4"/>
  <c r="F452" i="4"/>
  <c r="F420" i="4"/>
  <c r="F426" i="4"/>
  <c r="F430" i="4"/>
  <c r="F436" i="4"/>
  <c r="F435" i="4"/>
  <c r="F422" i="4"/>
  <c r="F427" i="4"/>
  <c r="F431" i="4"/>
  <c r="E537" i="4" l="1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12" i="4"/>
  <c r="E411" i="4"/>
  <c r="F410" i="4"/>
  <c r="F409" i="4"/>
  <c r="F408" i="4"/>
  <c r="F407" i="4"/>
  <c r="F405" i="4"/>
  <c r="E403" i="4"/>
  <c r="E402" i="4"/>
  <c r="E401" i="4"/>
  <c r="E400" i="4"/>
  <c r="E399" i="4"/>
  <c r="E398" i="4"/>
  <c r="E397" i="4"/>
  <c r="E396" i="4"/>
  <c r="E394" i="4"/>
  <c r="E393" i="4"/>
  <c r="E392" i="4"/>
  <c r="E391" i="4"/>
  <c r="E390" i="4"/>
  <c r="D388" i="4"/>
  <c r="E384" i="4"/>
  <c r="E383" i="4"/>
  <c r="E382" i="4"/>
  <c r="E381" i="4"/>
  <c r="E380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0" i="4"/>
  <c r="E339" i="4"/>
  <c r="E338" i="4"/>
  <c r="E336" i="4"/>
  <c r="E335" i="4"/>
  <c r="E334" i="4"/>
  <c r="E332" i="4"/>
  <c r="E331" i="4"/>
  <c r="E330" i="4"/>
  <c r="E329" i="4"/>
  <c r="F454" i="4" l="1"/>
  <c r="F455" i="4"/>
  <c r="F338" i="4"/>
  <c r="F351" i="4"/>
  <c r="F371" i="4"/>
  <c r="F384" i="4"/>
  <c r="F401" i="4"/>
  <c r="F469" i="4"/>
  <c r="F477" i="4"/>
  <c r="F489" i="4"/>
  <c r="F501" i="4"/>
  <c r="F518" i="4"/>
  <c r="F530" i="4"/>
  <c r="F329" i="4"/>
  <c r="F334" i="4"/>
  <c r="F339" i="4"/>
  <c r="F344" i="4"/>
  <c r="F348" i="4"/>
  <c r="F352" i="4"/>
  <c r="F356" i="4"/>
  <c r="F360" i="4"/>
  <c r="F364" i="4"/>
  <c r="F368" i="4"/>
  <c r="F372" i="4"/>
  <c r="F376" i="4"/>
  <c r="F381" i="4"/>
  <c r="F393" i="4"/>
  <c r="F398" i="4"/>
  <c r="F402" i="4"/>
  <c r="F412" i="4"/>
  <c r="F458" i="4"/>
  <c r="F462" i="4"/>
  <c r="F466" i="4"/>
  <c r="F470" i="4"/>
  <c r="F474" i="4"/>
  <c r="F478" i="4"/>
  <c r="F482" i="4"/>
  <c r="F486" i="4"/>
  <c r="F490" i="4"/>
  <c r="F494" i="4"/>
  <c r="F498" i="4"/>
  <c r="F502" i="4"/>
  <c r="F506" i="4"/>
  <c r="F510" i="4"/>
  <c r="F514" i="4"/>
  <c r="F519" i="4"/>
  <c r="F523" i="4"/>
  <c r="F527" i="4"/>
  <c r="F531" i="4"/>
  <c r="F535" i="4"/>
  <c r="F343" i="4"/>
  <c r="F355" i="4"/>
  <c r="F363" i="4"/>
  <c r="F375" i="4"/>
  <c r="F392" i="4"/>
  <c r="F461" i="4"/>
  <c r="F473" i="4"/>
  <c r="F485" i="4"/>
  <c r="F497" i="4"/>
  <c r="F509" i="4"/>
  <c r="F522" i="4"/>
  <c r="F534" i="4"/>
  <c r="F335" i="4"/>
  <c r="F345" i="4"/>
  <c r="F349" i="4"/>
  <c r="F353" i="4"/>
  <c r="F357" i="4"/>
  <c r="F361" i="4"/>
  <c r="F365" i="4"/>
  <c r="F369" i="4"/>
  <c r="F373" i="4"/>
  <c r="F377" i="4"/>
  <c r="F382" i="4"/>
  <c r="F390" i="4"/>
  <c r="F394" i="4"/>
  <c r="F399" i="4"/>
  <c r="F403" i="4"/>
  <c r="F459" i="4"/>
  <c r="F463" i="4"/>
  <c r="F467" i="4"/>
  <c r="F471" i="4"/>
  <c r="F475" i="4"/>
  <c r="F479" i="4"/>
  <c r="F483" i="4"/>
  <c r="F487" i="4"/>
  <c r="F491" i="4"/>
  <c r="F495" i="4"/>
  <c r="F499" i="4"/>
  <c r="F503" i="4"/>
  <c r="F507" i="4"/>
  <c r="F511" i="4"/>
  <c r="F520" i="4"/>
  <c r="F524" i="4"/>
  <c r="F528" i="4"/>
  <c r="F532" i="4"/>
  <c r="F536" i="4"/>
  <c r="F332" i="4"/>
  <c r="F347" i="4"/>
  <c r="F359" i="4"/>
  <c r="F367" i="4"/>
  <c r="F380" i="4"/>
  <c r="F397" i="4"/>
  <c r="F411" i="4"/>
  <c r="F457" i="4"/>
  <c r="F465" i="4"/>
  <c r="F481" i="4"/>
  <c r="F493" i="4"/>
  <c r="F505" i="4"/>
  <c r="F513" i="4"/>
  <c r="F526" i="4"/>
  <c r="F330" i="4"/>
  <c r="F331" i="4"/>
  <c r="F342" i="4"/>
  <c r="F346" i="4"/>
  <c r="F350" i="4"/>
  <c r="F354" i="4"/>
  <c r="F358" i="4"/>
  <c r="F362" i="4"/>
  <c r="F366" i="4"/>
  <c r="F370" i="4"/>
  <c r="F374" i="4"/>
  <c r="F378" i="4"/>
  <c r="F383" i="4"/>
  <c r="F391" i="4"/>
  <c r="F396" i="4"/>
  <c r="F400" i="4"/>
  <c r="F456" i="4"/>
  <c r="F460" i="4"/>
  <c r="F464" i="4"/>
  <c r="F468" i="4"/>
  <c r="F472" i="4"/>
  <c r="F476" i="4"/>
  <c r="F480" i="4"/>
  <c r="F484" i="4"/>
  <c r="F488" i="4"/>
  <c r="F492" i="4"/>
  <c r="F496" i="4"/>
  <c r="F500" i="4"/>
  <c r="F504" i="4"/>
  <c r="F508" i="4"/>
  <c r="F512" i="4"/>
  <c r="F517" i="4"/>
  <c r="F521" i="4"/>
  <c r="F525" i="4"/>
  <c r="F529" i="4"/>
  <c r="F533" i="4"/>
  <c r="F537" i="4"/>
  <c r="F336" i="4"/>
  <c r="E388" i="4"/>
  <c r="F388" i="4" s="1"/>
  <c r="F406" i="4"/>
  <c r="F340" i="4"/>
  <c r="E385" i="4"/>
  <c r="F385" i="4" l="1"/>
</calcChain>
</file>

<file path=xl/sharedStrings.xml><?xml version="1.0" encoding="utf-8"?>
<sst xmlns="http://schemas.openxmlformats.org/spreadsheetml/2006/main" count="1701" uniqueCount="1063">
  <si>
    <t>без НДС</t>
  </si>
  <si>
    <t>с НДС</t>
  </si>
  <si>
    <t>Ед.изм.</t>
  </si>
  <si>
    <t>2.1.</t>
  </si>
  <si>
    <t>2.2.</t>
  </si>
  <si>
    <t>2.3.</t>
  </si>
  <si>
    <t>3.1.</t>
  </si>
  <si>
    <t>3.2.</t>
  </si>
  <si>
    <t>3.3.</t>
  </si>
  <si>
    <t>НДС</t>
  </si>
  <si>
    <t>1.3.</t>
  </si>
  <si>
    <t>1 шт.</t>
  </si>
  <si>
    <t>2.4.</t>
  </si>
  <si>
    <t>2.5.</t>
  </si>
  <si>
    <t>2.6.</t>
  </si>
  <si>
    <t>3.4.</t>
  </si>
  <si>
    <t>3.5.</t>
  </si>
  <si>
    <t>3.6.</t>
  </si>
  <si>
    <t>3.7.</t>
  </si>
  <si>
    <t>3.8.</t>
  </si>
  <si>
    <t>4.1.</t>
  </si>
  <si>
    <t>4.2.</t>
  </si>
  <si>
    <t>4.3.</t>
  </si>
  <si>
    <t>4.4.</t>
  </si>
  <si>
    <t>4.5.</t>
  </si>
  <si>
    <t>4.6.</t>
  </si>
  <si>
    <t>4.7.</t>
  </si>
  <si>
    <t>6.1.</t>
  </si>
  <si>
    <t>6.2.</t>
  </si>
  <si>
    <t>6.3.</t>
  </si>
  <si>
    <t>7.1.</t>
  </si>
  <si>
    <t>7.2.</t>
  </si>
  <si>
    <t>УТВЕРЖДЕН</t>
  </si>
  <si>
    <t>Установка однополюсного автоматического выключателя</t>
  </si>
  <si>
    <t>Установка двухполюсного автоматического выключателя</t>
  </si>
  <si>
    <t>Установка трехполюсного автоматического выключателя</t>
  </si>
  <si>
    <t>Установка четырехполюсного автоматического выключателя</t>
  </si>
  <si>
    <t>Установка однополюсного УЗО</t>
  </si>
  <si>
    <t>Установка двухполюсного УЗО</t>
  </si>
  <si>
    <t>Установка трехполюсного УЗО</t>
  </si>
  <si>
    <t>Установка четырехполюсного УЗО</t>
  </si>
  <si>
    <t>1.1.</t>
  </si>
  <si>
    <t>1.2.</t>
  </si>
  <si>
    <t>1.4.</t>
  </si>
  <si>
    <t>1.5.</t>
  </si>
  <si>
    <t>1.6.</t>
  </si>
  <si>
    <t>1.7.</t>
  </si>
  <si>
    <t>8.</t>
  </si>
  <si>
    <t>Организация технического надзора за производством строительно-монтажных работ в части обеспечения безопасности объектов электроэнергетики</t>
  </si>
  <si>
    <t>Итого с НДС</t>
  </si>
  <si>
    <t>А - постоянная составляющая</t>
  </si>
  <si>
    <t>В - переменная составляющая</t>
  </si>
  <si>
    <t>Итого</t>
  </si>
  <si>
    <t>1 км</t>
  </si>
  <si>
    <t>Согласование проектной документации</t>
  </si>
  <si>
    <t>Согласование проектов производства работ</t>
  </si>
  <si>
    <t>Организация допуска Подрядчика к объектам электроэнергетики для производства работ</t>
  </si>
  <si>
    <t>Г.Н. Репникова</t>
  </si>
  <si>
    <t>Е.Ю. Зверев</t>
  </si>
  <si>
    <t>1 комплект</t>
  </si>
  <si>
    <t xml:space="preserve">Ед.изм. </t>
  </si>
  <si>
    <t>№№</t>
  </si>
  <si>
    <t>Услуги</t>
  </si>
  <si>
    <t>ПРОЧАЯ ДЕЯТЕЛЬНОСТЬ</t>
  </si>
  <si>
    <t>1.</t>
  </si>
  <si>
    <t>Аренда</t>
  </si>
  <si>
    <t>Аренда зданий, помещений, сооружений, кроме объектов электросетевого хозяйства</t>
  </si>
  <si>
    <t xml:space="preserve">Аренда объектов электросетевого хозяйства </t>
  </si>
  <si>
    <t>Аренда земли</t>
  </si>
  <si>
    <t>Аренда транспортных средств</t>
  </si>
  <si>
    <t>Услуги по размещению оборудования на электросетевых объектах</t>
  </si>
  <si>
    <t>1.5.1.</t>
  </si>
  <si>
    <t>Услуги по размещению телекоммуникационного оборудования связи, в том числе волоконно-оптических линий связи</t>
  </si>
  <si>
    <t>1.5.2.</t>
  </si>
  <si>
    <t>Услуги по размещению наружного освещения</t>
  </si>
  <si>
    <t>1.5.3.</t>
  </si>
  <si>
    <t>Услуги по размещению на электросетевых объектах прочих конструкций и оборудования</t>
  </si>
  <si>
    <t>Услуги по размещению наружной рекламы и информации</t>
  </si>
  <si>
    <t>Аренда прочего имущества</t>
  </si>
  <si>
    <t>Услуги по техническому и ремонтно-эксплуатационному обслуживанию</t>
  </si>
  <si>
    <t xml:space="preserve">Оперативно-техническое обслуживание электросетевых объектов потребителя </t>
  </si>
  <si>
    <t>Оперативно-техническое обслуживание сетей наружного освещения</t>
  </si>
  <si>
    <t>Ремонтно-эксплуатационное обслуживание электросетевых объектов потребителя</t>
  </si>
  <si>
    <t>Ремонтно-эксплуатационное обслуживание сетей наружного освещения</t>
  </si>
  <si>
    <t>6.</t>
  </si>
  <si>
    <t xml:space="preserve">Прочие услуги по техническому и ремонтно-эксплуатационному обслуживанию, диагностике и испытанию </t>
  </si>
  <si>
    <t>2.</t>
  </si>
  <si>
    <t>3.</t>
  </si>
  <si>
    <t>Выполнение строительно-монтажных работ</t>
  </si>
  <si>
    <t>Строительно-монтажные работы по устройству электрических сетей наружного освещения («Организация сетей наружного освещения», пакетная услуга)</t>
  </si>
  <si>
    <t>Проектно-изыскательские работы в целях строительства, реконструкции и перевооружения электросетевых объектов потребителя</t>
  </si>
  <si>
    <t>Строительно-монтажные работы, реконструкция и перевооружение электросетевых объектов потребителя</t>
  </si>
  <si>
    <t>Организация учета электрической энергии (установка/замена, ремонт приборов учета, установка комплекса АИИС КУЭ и пр.)</t>
  </si>
  <si>
    <t>Технический надзор за производством строительно-монтажных работ</t>
  </si>
  <si>
    <t>Прочие строительно-монтажные и проектные работы</t>
  </si>
  <si>
    <t>4.</t>
  </si>
  <si>
    <t>Консультационные и организационно-технические услуги</t>
  </si>
  <si>
    <t>Проведение энергетических обследований (энергоаудит), разработка и реализация мероприятий по энергосбережению и повышению энергетической эффективности</t>
  </si>
  <si>
    <t xml:space="preserve">Консультационные услуги по направлениям деятельности («Энергоконсультант», и др.)  </t>
  </si>
  <si>
    <t xml:space="preserve">Услуги по отключению-подключению потребителей,  по введению ограничения (восстановлению) потребления электроэнергии  </t>
  </si>
  <si>
    <t xml:space="preserve">Услуги по предоставлению допуска сторонних организаций для производства работ в охранных зонах или на объектах электросетевого хозяйства </t>
  </si>
  <si>
    <t xml:space="preserve">Экспертиза и согласование проектной документации </t>
  </si>
  <si>
    <t>Услуги по управлению спросом на электрическую энергию</t>
  </si>
  <si>
    <t>Прочие консультационные и организационно-технические услуги</t>
  </si>
  <si>
    <t>5.</t>
  </si>
  <si>
    <t>Агентские услуги</t>
  </si>
  <si>
    <t xml:space="preserve">Услуги связи и информационных технологий </t>
  </si>
  <si>
    <t>Услуги в сфере информационных технологий</t>
  </si>
  <si>
    <t>Услуги центра обработки телефонных вызовов (Контакт-центров, горячих линий и пр.)</t>
  </si>
  <si>
    <t>Прочие услуги связи и информационных технологий</t>
  </si>
  <si>
    <t>7.</t>
  </si>
  <si>
    <t>Другие услуги по прочей операционной деятельности</t>
  </si>
  <si>
    <t xml:space="preserve">Услуги по зарядке электротранспорта </t>
  </si>
  <si>
    <t>Прочие другие услуги по прочей операционной деятельности</t>
  </si>
  <si>
    <t>Другие прочие услуги</t>
  </si>
  <si>
    <t>Приложение № 7</t>
  </si>
  <si>
    <t xml:space="preserve">Установка однофазного электросчетчика </t>
  </si>
  <si>
    <t>Установка трехфазного электросчетчика прямого включения</t>
  </si>
  <si>
    <t>Установка трехфазного электросчетчика трансформаторного включения</t>
  </si>
  <si>
    <t xml:space="preserve">Автотранспортные расходы </t>
  </si>
  <si>
    <t>Обслуживание приборов учета</t>
  </si>
  <si>
    <t>Программирование многофункционального счетчика</t>
  </si>
  <si>
    <t>Монтаж, проверка трансформатора тока</t>
  </si>
  <si>
    <t>Монтаж щитка учета, блока измерения и защиты (БИЗ) (без стоимости материалов)</t>
  </si>
  <si>
    <t>1-но фаз.щиток учета, БИЗ с 1-но фаз. эл. сч.</t>
  </si>
  <si>
    <t>3-х  фаз.щиток учета, БИЗ с 3-х фаз. эл. сч. (5/50А, 10/100А)</t>
  </si>
  <si>
    <t>Монтаж внутренней электропроводки (без стоимости материалов)</t>
  </si>
  <si>
    <t xml:space="preserve">Устройство проводки открытой, укладка в короб, лоток с фиксацией стяжками, укладка в штрабу с фиксацией алебастром </t>
  </si>
  <si>
    <t>п.м.</t>
  </si>
  <si>
    <t xml:space="preserve">Затяжка в гофру </t>
  </si>
  <si>
    <t>Монтаж кабель-канала</t>
  </si>
  <si>
    <t xml:space="preserve">Устройство распаечной коробки с расключением и маркировкой </t>
  </si>
  <si>
    <t xml:space="preserve">Штрабление </t>
  </si>
  <si>
    <t>Монтаж светильника (встраиваемого, подвесного) (шт.)</t>
  </si>
  <si>
    <t>Монтаж розетки, выключателя в имеющийся подрозетник, кабель-канал</t>
  </si>
  <si>
    <t xml:space="preserve">Устройство подрозетника в гипсокартоне </t>
  </si>
  <si>
    <t xml:space="preserve">Устройство подрозетника в пеноблоке, кирпиче </t>
  </si>
  <si>
    <t xml:space="preserve">Устройство подрозетника в бетоне </t>
  </si>
  <si>
    <t xml:space="preserve">Монтаж щита навесного до 36 модулей </t>
  </si>
  <si>
    <t xml:space="preserve">Монтаж щита навесного до 36-54 модулей </t>
  </si>
  <si>
    <t>Монтаж щита встраиваемого 24 модулей, бетон</t>
  </si>
  <si>
    <t xml:space="preserve">Монтаж щита встраиваемого 24 модулей, кирпич </t>
  </si>
  <si>
    <t xml:space="preserve">Монтаж щита встраиваемого 36 модулей, бетон </t>
  </si>
  <si>
    <t xml:space="preserve">Монтаж щита встраиваемого 36 модулей, кирпич </t>
  </si>
  <si>
    <t xml:space="preserve">Разводка кабеля в розетке одиночная </t>
  </si>
  <si>
    <t xml:space="preserve">Разводка кабеля в розетке двойная </t>
  </si>
  <si>
    <t xml:space="preserve">Монтаж электрической розетки </t>
  </si>
  <si>
    <t xml:space="preserve">Пробивка бетонных и кирпичных стен </t>
  </si>
  <si>
    <t>10 см</t>
  </si>
  <si>
    <t xml:space="preserve">Пробивка стен из легких материалов </t>
  </si>
  <si>
    <t xml:space="preserve">Пробивка перекрытий </t>
  </si>
  <si>
    <t xml:space="preserve">Демонтаж короба </t>
  </si>
  <si>
    <t xml:space="preserve">Демонтаж коробки распаечной </t>
  </si>
  <si>
    <t xml:space="preserve">Демонтаж проводки электрической в коробе </t>
  </si>
  <si>
    <t xml:space="preserve">Демонтаж проводки электрической открытой </t>
  </si>
  <si>
    <t xml:space="preserve">Демонтаж точки электрической </t>
  </si>
  <si>
    <t>Монтаж трубной разводки</t>
  </si>
  <si>
    <t>Обслуживание электроустановок (без стоимости материалов)</t>
  </si>
  <si>
    <t>Покраска щита, распред пункта</t>
  </si>
  <si>
    <t>Замена замков на ЩУ, ЩО, ЩР</t>
  </si>
  <si>
    <t>Замена автоматических выключателей, рубильников, автоматов освещения, пускателей (одно присоединение)</t>
  </si>
  <si>
    <t>Обтяжка токоведущих зажимов (одно присоединение)</t>
  </si>
  <si>
    <t>Подключение ввода у бытового абонента</t>
  </si>
  <si>
    <t>Техническое обслуживание  систем АСКУЭ</t>
  </si>
  <si>
    <t>Монтаж электропроводки (с учетом стоимости материалов)</t>
  </si>
  <si>
    <t>Монтаж электропроводки проводом ПУГНП 3x2,5</t>
  </si>
  <si>
    <t>Монтаж электропроводки проводом ПУГН 3x4</t>
  </si>
  <si>
    <t>Монтаж электропроводки проводом ВВГ 3x6</t>
  </si>
  <si>
    <t>Монтаж электропроводки проводом СИП-4  2x16</t>
  </si>
  <si>
    <t>Автотранспортные расходы (из расчета за 1 км)</t>
  </si>
  <si>
    <t>Монтаж трансформаторов тока (с учетом стоимости материалов)</t>
  </si>
  <si>
    <t>Монтаж трансформатора тока ТТ-0,66/ТТИ-А 50/5</t>
  </si>
  <si>
    <t>Монтаж трансформатора тока ТТ-0,66/ТТИ-А 75/5</t>
  </si>
  <si>
    <t>Монтаж трансформатора тока ТТ-0,66/ТТИ-А 100/5</t>
  </si>
  <si>
    <t>Монтаж трансформатора тока ТТ-0,66/ТТИ-А 150/5</t>
  </si>
  <si>
    <t>Монтаж трансформатора тока ТТ-0,66/ТТИ-А 200/5</t>
  </si>
  <si>
    <t>Монтаж трансформатора тока ТТ-0,66/ТТИ-А 300/5</t>
  </si>
  <si>
    <t>Монтаж трансформатора тока ТТ-0,66/ТТИ-А 400/5</t>
  </si>
  <si>
    <t>Автотранспортные расходы</t>
  </si>
  <si>
    <t>Проверка схем приборов учета</t>
  </si>
  <si>
    <t>Проверка схем включения прибора учета для физических лиц (трехфазный прямого включения)</t>
  </si>
  <si>
    <t>Проверка схем включения прибора учета для физических лиц (трехфазный трансформаторного включения)</t>
  </si>
  <si>
    <t>Проверка схем включения прибора учета для физических лиц  (однофазный)</t>
  </si>
  <si>
    <t>Проверка схем включения прибора учета для юридических лиц (однофазный)</t>
  </si>
  <si>
    <t>Проверка схем включения прибора учета для юридических лиц (трехфазный трансформаторного включения)</t>
  </si>
  <si>
    <t>Проверка схем включения прибора учета для юридических лиц (трехфазный прямого включения)</t>
  </si>
  <si>
    <t>Скачивание профиля мощности с прибора учета электрической энергии
в электроустановке выше 1000В</t>
  </si>
  <si>
    <t xml:space="preserve"> 3.6.1</t>
  </si>
  <si>
    <t xml:space="preserve"> 3.6.1.1</t>
  </si>
  <si>
    <t xml:space="preserve"> 3.6.1.2</t>
  </si>
  <si>
    <t xml:space="preserve"> 3.6.1.3</t>
  </si>
  <si>
    <t xml:space="preserve"> 3.6.1.4</t>
  </si>
  <si>
    <t xml:space="preserve"> 3.6.2</t>
  </si>
  <si>
    <t xml:space="preserve"> 3.6.2.1</t>
  </si>
  <si>
    <t xml:space="preserve"> 3.6.2.2</t>
  </si>
  <si>
    <t xml:space="preserve"> 3.6.2.3</t>
  </si>
  <si>
    <t xml:space="preserve"> 3.6.3</t>
  </si>
  <si>
    <t xml:space="preserve"> 3.6.3.1</t>
  </si>
  <si>
    <t xml:space="preserve"> 3.6.3.2</t>
  </si>
  <si>
    <t xml:space="preserve"> 3.6.3.3</t>
  </si>
  <si>
    <t xml:space="preserve"> 3.6.4</t>
  </si>
  <si>
    <t xml:space="preserve"> 3.6.4.1</t>
  </si>
  <si>
    <t xml:space="preserve"> 3.6.4.2</t>
  </si>
  <si>
    <t xml:space="preserve"> 3.6.4.3</t>
  </si>
  <si>
    <t xml:space="preserve"> 3.6.5</t>
  </si>
  <si>
    <t xml:space="preserve"> 3.6.6</t>
  </si>
  <si>
    <t xml:space="preserve"> 3.6.5.1</t>
  </si>
  <si>
    <t xml:space="preserve"> 3.6.5.2</t>
  </si>
  <si>
    <t xml:space="preserve"> 3.6.5.3</t>
  </si>
  <si>
    <t xml:space="preserve"> 3.6.5.4</t>
  </si>
  <si>
    <t xml:space="preserve"> 3.6.5.5</t>
  </si>
  <si>
    <t xml:space="preserve"> 3.6.5.6</t>
  </si>
  <si>
    <t xml:space="preserve"> 3.6.6.1</t>
  </si>
  <si>
    <t xml:space="preserve"> 3.6.6.2</t>
  </si>
  <si>
    <t xml:space="preserve"> 3.6.7</t>
  </si>
  <si>
    <t xml:space="preserve"> 3.6.8</t>
  </si>
  <si>
    <t xml:space="preserve"> 3.6.7.1</t>
  </si>
  <si>
    <t xml:space="preserve"> 3.6.7.2</t>
  </si>
  <si>
    <t xml:space="preserve"> 3.6.8.1</t>
  </si>
  <si>
    <t xml:space="preserve"> 3.6.8.2</t>
  </si>
  <si>
    <t xml:space="preserve"> 3.6.8.3</t>
  </si>
  <si>
    <t xml:space="preserve"> 3.6.8.4</t>
  </si>
  <si>
    <t xml:space="preserve"> 3.6.8.5</t>
  </si>
  <si>
    <t xml:space="preserve"> 3.6.9</t>
  </si>
  <si>
    <t xml:space="preserve"> 3.6.10</t>
  </si>
  <si>
    <t xml:space="preserve"> 3.6.9.1</t>
  </si>
  <si>
    <t xml:space="preserve"> 3.6.9.2</t>
  </si>
  <si>
    <t xml:space="preserve"> 3.6.9.3</t>
  </si>
  <si>
    <t xml:space="preserve"> 3.6.9.4</t>
  </si>
  <si>
    <t xml:space="preserve"> 3.6.9.5</t>
  </si>
  <si>
    <t xml:space="preserve"> 3.6.9.6</t>
  </si>
  <si>
    <t xml:space="preserve"> 3.6.9.7</t>
  </si>
  <si>
    <t>1 пара</t>
  </si>
  <si>
    <t xml:space="preserve">Измерение полного сопротивления петли фаза-нуль до 1000В (одно измерение) </t>
  </si>
  <si>
    <t>Проверка соединений заземлителей до 1000В с заземляемыми элементами (связь) на 100 точек</t>
  </si>
  <si>
    <t>Измерение сопротивления заземления опор до 1000В (одно измерение)</t>
  </si>
  <si>
    <t>Измерение сопротивления контура заземления до 1000В (точечного)</t>
  </si>
  <si>
    <t>Проверка заземления электрооборудования до 1000В (осмотр, простукивание, проверка сечений проводников-определение на соответствие ПУИ)</t>
  </si>
  <si>
    <t>Осмотр концевой разделки кабеля до 1000В (на один кабель)</t>
  </si>
  <si>
    <t>Измерение сопротивления изоляции до 1000В</t>
  </si>
  <si>
    <t>Испытание повышенным выпрямленным напряжением  до 1000В</t>
  </si>
  <si>
    <t>Фазировка ВЛ  до 1000В</t>
  </si>
  <si>
    <t>1 маш/час</t>
  </si>
  <si>
    <t>ПО Северные электрические сети</t>
  </si>
  <si>
    <t>Автокран КС 45721 на базе КАМАЗ 43118 Н658НС</t>
  </si>
  <si>
    <t>Автокран КС 45721 на базе УРАЛ 4320 О488АХ</t>
  </si>
  <si>
    <t>Автоподъемник АП-17А на базе ГАЗ 3307 У284МЕ</t>
  </si>
  <si>
    <t>Автоподъемник ПМС-328-01 на базе УРАЛ 4320 Р600ЕЕ</t>
  </si>
  <si>
    <t>Автоподъемник 3732V1 АГП-14Т на базе ГАЗ-33081 А 835 РХ 161</t>
  </si>
  <si>
    <t>КАМАЗ 5328 LN Седельный тягач с КМУ  Х 251 СР 161</t>
  </si>
  <si>
    <t>ТРЭКОЛ-39041 внедорожное транспортное средство 61 ЕА 18-48</t>
  </si>
  <si>
    <t>ГАЗ-27057 Электротехническая лаборатория 35 кВ О 182 РТ 161</t>
  </si>
  <si>
    <t>ЭТЛ УАЗ-3962 В431АУ</t>
  </si>
  <si>
    <t>Экскаватор ЭО-2628 МТЗ-80 НР8010</t>
  </si>
  <si>
    <t>ГАЗ-27057 грузовой фургон А 836 РХ 161</t>
  </si>
  <si>
    <t>Автокран КС-2561К1 на автомобиле ЗИЛ-130 К948МН</t>
  </si>
  <si>
    <t>Автобус специальный 3284-0000010-03 на ГАЗ -33081 А 834 РХ 161</t>
  </si>
  <si>
    <t>ГАЗ-33081 Чайка-сервис 27844К - бортовой с двухрядной кабиной А 837 РХ 161</t>
  </si>
  <si>
    <t>Автокран МСК -87 на базе ЗИЛ 130 У378ВС 161</t>
  </si>
  <si>
    <t>ЗИЛ-4948 самосвал С842ЕА</t>
  </si>
  <si>
    <t>Автоподъемник ВС-18МС на базе ЗИЛ-131 У298МЕ</t>
  </si>
  <si>
    <t>Автоподъемник ВС-18.01МС на базе ГАЗ-3307 К964МН</t>
  </si>
  <si>
    <t>Вышка телескопическая ВТ-1 на базе трактора Т-150К НР8016</t>
  </si>
  <si>
    <t>БКМ на базе Т-150К НР8011</t>
  </si>
  <si>
    <t>Автокран КС-3574 на базе УРАЛ-5557 К962МН</t>
  </si>
  <si>
    <t>В соответствии с утвержденными тарифами</t>
  </si>
  <si>
    <t>Согласование проектов на газоснабжение, водоснабжение, теплоснабжение, телефонизацию, канализацию и т.д., топографических съемок, планов размещения земельных участков, актов выбора трасс</t>
  </si>
  <si>
    <t xml:space="preserve">Стоимость услуг на 1 ограничение (возобновление) электроснабжения. С выездом бригады на место, отключение на опоре. </t>
  </si>
  <si>
    <t>Стоимость услуг на 1 ограничение (возобновление) электроснабжения. С выездом бригады на место. Отключение на электросчётчике потребителя или на ТП.</t>
  </si>
  <si>
    <t>Стоимость услуг на 1 ограничение (возобновление) электроснабжения. С выездом бригады на место и принятием технических мероприятий по недопущению несанкционированного подключения.</t>
  </si>
  <si>
    <t xml:space="preserve">Стоимость услуг на 1 ограничение (возобновление) электроснабжения. При отключении потребителя с диспетчерского щита управления. </t>
  </si>
  <si>
    <t>Стоимость услуг на 1 ограничение (возобновление) электроснабжения. При отключении потребителя с выездом ОВБ на ПС в случае вывода в ремонт системы ТМ и ТУ.</t>
  </si>
  <si>
    <t>Услуги по отключению / подключению юридических лиц - потребителей электрической энергии</t>
  </si>
  <si>
    <t xml:space="preserve"> 4.3.1</t>
  </si>
  <si>
    <t xml:space="preserve"> 4.3.1.1</t>
  </si>
  <si>
    <t xml:space="preserve"> 4.3.1.2</t>
  </si>
  <si>
    <t xml:space="preserve"> 4.3.1.3</t>
  </si>
  <si>
    <t xml:space="preserve"> 4.3.1.4</t>
  </si>
  <si>
    <t xml:space="preserve"> 4.3.1.5</t>
  </si>
  <si>
    <t xml:space="preserve"> 4.3.2</t>
  </si>
  <si>
    <t xml:space="preserve"> 4.3.2.1</t>
  </si>
  <si>
    <t xml:space="preserve"> 4.3.2.2</t>
  </si>
  <si>
    <t xml:space="preserve"> 4.3.2.3</t>
  </si>
  <si>
    <t xml:space="preserve"> 4.3.2.4</t>
  </si>
  <si>
    <t xml:space="preserve"> 4.3.2.5</t>
  </si>
  <si>
    <t xml:space="preserve"> 4.3.2.6</t>
  </si>
  <si>
    <t>Химический анализ трансформаторного масла и др. веществ</t>
  </si>
  <si>
    <t>1 исп.</t>
  </si>
  <si>
    <t>Прейскурант на дополнительные услуги</t>
  </si>
  <si>
    <t>Подготовка заключения, подготовка и выдача технического задания (технических условий),расчета стартовой стоимости на перемещение/перекладку ВЛ 0,4-10 кВ</t>
  </si>
  <si>
    <t>Организация допуска Заказчика (подрядчиков) к объектам электроэнергетики для производства работ</t>
  </si>
  <si>
    <t>Участие в работе комиссии по приемке перемещенных объектов электроэнергетики</t>
  </si>
  <si>
    <t>Подготовка заключения, подготовка и выдача технического задания (технических условий),расчета стартовой стоимости на перемещение/перекладку ВЛ 35-110 кВ</t>
  </si>
  <si>
    <t>Приложение № 8</t>
  </si>
  <si>
    <t>2.1.1</t>
  </si>
  <si>
    <t>Стоимость услуги определяется индивидуально по каждому объекту аренды</t>
  </si>
  <si>
    <t>Стоимость услуги определяется индивидуально в зависимости от условий размещения оборудования</t>
  </si>
  <si>
    <t>Стоимость услуги определяется индивидуально в зависимости от условий размещения конструкций и оборудования</t>
  </si>
  <si>
    <t>Стоимость услуги определяется индивидуально в зависимости от условий размещения наружной рекламы и информации</t>
  </si>
  <si>
    <t>Стоимость услуги определяется индивидуально  в зависимости от объема работ</t>
  </si>
  <si>
    <t>2.6.1</t>
  </si>
  <si>
    <t>2.6.1.1</t>
  </si>
  <si>
    <t>2.6.1.2</t>
  </si>
  <si>
    <t>2.6.1.3</t>
  </si>
  <si>
    <t>2.6.1.4</t>
  </si>
  <si>
    <t>2.6.1.5</t>
  </si>
  <si>
    <t>2.6.1.6</t>
  </si>
  <si>
    <t>2.6.1.7</t>
  </si>
  <si>
    <t>2.6.1.8</t>
  </si>
  <si>
    <t>2.6.1.9</t>
  </si>
  <si>
    <t xml:space="preserve"> (1 огр./
воз.)</t>
  </si>
  <si>
    <t>4.5.1</t>
  </si>
  <si>
    <t>8.1</t>
  </si>
  <si>
    <t>8.2</t>
  </si>
  <si>
    <t>8.1.2</t>
  </si>
  <si>
    <t>8.1.3</t>
  </si>
  <si>
    <t>Услуги автомобильного и специального транспорта</t>
  </si>
  <si>
    <t>8.2.1</t>
  </si>
  <si>
    <t>8.2.2</t>
  </si>
  <si>
    <t>8.2.3</t>
  </si>
  <si>
    <t>8.2.4</t>
  </si>
  <si>
    <t>8.2.5</t>
  </si>
  <si>
    <t>8.2.6</t>
  </si>
  <si>
    <t>8.2.7</t>
  </si>
  <si>
    <t>8.2.8</t>
  </si>
  <si>
    <t>8.2.9</t>
  </si>
  <si>
    <t>8.2.10</t>
  </si>
  <si>
    <t>8.2.11</t>
  </si>
  <si>
    <t>8.2.12</t>
  </si>
  <si>
    <t>8.2.13</t>
  </si>
  <si>
    <t>8.2.14</t>
  </si>
  <si>
    <t>8.2.15</t>
  </si>
  <si>
    <t>8.2.16</t>
  </si>
  <si>
    <t>8.2.17</t>
  </si>
  <si>
    <t>8.2.18</t>
  </si>
  <si>
    <t>8.2.19</t>
  </si>
  <si>
    <t>8.2.20</t>
  </si>
  <si>
    <t>8.2.21</t>
  </si>
  <si>
    <t>8.2.22</t>
  </si>
  <si>
    <t>8.2.23</t>
  </si>
  <si>
    <t>8.2.24</t>
  </si>
  <si>
    <t>8.2.25</t>
  </si>
  <si>
    <t>8.2.26</t>
  </si>
  <si>
    <t>8.2.27</t>
  </si>
  <si>
    <t>8.2.28</t>
  </si>
  <si>
    <t>8.2.29</t>
  </si>
  <si>
    <t>8.2.30</t>
  </si>
  <si>
    <t>8.2.31</t>
  </si>
  <si>
    <t>8.2.32</t>
  </si>
  <si>
    <t>8.2.33</t>
  </si>
  <si>
    <t>8.2.34</t>
  </si>
  <si>
    <t>8.2.35</t>
  </si>
  <si>
    <t>8.2.36</t>
  </si>
  <si>
    <t>8.2.37</t>
  </si>
  <si>
    <t>8.2.38</t>
  </si>
  <si>
    <t>8.2.39</t>
  </si>
  <si>
    <t>8.2.40</t>
  </si>
  <si>
    <t>8.2.41</t>
  </si>
  <si>
    <t>8.2.42</t>
  </si>
  <si>
    <t>8.2.43</t>
  </si>
  <si>
    <t>8.2.44</t>
  </si>
  <si>
    <t>8.2.45</t>
  </si>
  <si>
    <t>8.2.46</t>
  </si>
  <si>
    <t>8.2.47</t>
  </si>
  <si>
    <t>8.2.48</t>
  </si>
  <si>
    <t>8.2.49</t>
  </si>
  <si>
    <t>8.2.50</t>
  </si>
  <si>
    <t>8.2.51</t>
  </si>
  <si>
    <t>8.2.52</t>
  </si>
  <si>
    <t>8.2.53</t>
  </si>
  <si>
    <t>8.2.54</t>
  </si>
  <si>
    <t>8.2.55</t>
  </si>
  <si>
    <t>8.2.56</t>
  </si>
  <si>
    <t>8.2.57</t>
  </si>
  <si>
    <t>8.2.58</t>
  </si>
  <si>
    <t>8.2.59</t>
  </si>
  <si>
    <t>8.2.60</t>
  </si>
  <si>
    <t>8.2.61</t>
  </si>
  <si>
    <t>8.2.62</t>
  </si>
  <si>
    <t>8.2.63</t>
  </si>
  <si>
    <t>8.2.64</t>
  </si>
  <si>
    <t>8.2.65</t>
  </si>
  <si>
    <t>8.2.66</t>
  </si>
  <si>
    <t>8.2.67</t>
  </si>
  <si>
    <t>8.2.68</t>
  </si>
  <si>
    <t>8.2.69</t>
  </si>
  <si>
    <t>8.2.70</t>
  </si>
  <si>
    <t>8.2.71</t>
  </si>
  <si>
    <t>8.2.72</t>
  </si>
  <si>
    <t>8.2.73</t>
  </si>
  <si>
    <t>8.2.74</t>
  </si>
  <si>
    <t>8.2.75</t>
  </si>
  <si>
    <t>8.2.76</t>
  </si>
  <si>
    <t>8.2.77</t>
  </si>
  <si>
    <t>8.2.78</t>
  </si>
  <si>
    <t>8.2.79</t>
  </si>
  <si>
    <t>8.2.80</t>
  </si>
  <si>
    <t>8.2.81</t>
  </si>
  <si>
    <t>8.2.82</t>
  </si>
  <si>
    <t>8.2.83</t>
  </si>
  <si>
    <t>8.2.84</t>
  </si>
  <si>
    <t>Услуги по функции технологического присоединения прочие</t>
  </si>
  <si>
    <t>8.4</t>
  </si>
  <si>
    <t>8.4.1</t>
  </si>
  <si>
    <t>8.4.2</t>
  </si>
  <si>
    <t>8.4.3</t>
  </si>
  <si>
    <t xml:space="preserve">Оперативно-техническое обслуживание прочих электросетевых объектов потребителя </t>
  </si>
  <si>
    <t>2.1.2</t>
  </si>
  <si>
    <t>4.5.1.1</t>
  </si>
  <si>
    <t>4.5.1.2</t>
  </si>
  <si>
    <t>4.5.1.3</t>
  </si>
  <si>
    <t>4.7.1</t>
  </si>
  <si>
    <t>8.4.1.1</t>
  </si>
  <si>
    <t>8.4.2.1</t>
  </si>
  <si>
    <t>8.4.3.1</t>
  </si>
  <si>
    <t>8.3.</t>
  </si>
  <si>
    <t>8.3.1</t>
  </si>
  <si>
    <t>8.3.1.1</t>
  </si>
  <si>
    <t>8.3.1.2</t>
  </si>
  <si>
    <t>8.3.1.3</t>
  </si>
  <si>
    <t>8.3.1.4</t>
  </si>
  <si>
    <t>8.3.1.5</t>
  </si>
  <si>
    <t>8.3.1.6</t>
  </si>
  <si>
    <t>8.3.2</t>
  </si>
  <si>
    <t>8.3.2.1</t>
  </si>
  <si>
    <t>8.3.2.2</t>
  </si>
  <si>
    <t>8.3.2.3</t>
  </si>
  <si>
    <t>8.3.2.4</t>
  </si>
  <si>
    <t>8.3.2.5</t>
  </si>
  <si>
    <t>8.3.2.6</t>
  </si>
  <si>
    <t>1 ТУ</t>
  </si>
  <si>
    <t>1 проект</t>
  </si>
  <si>
    <t>Производство и реализация теплоэнергии</t>
  </si>
  <si>
    <t>1 чел-час</t>
  </si>
  <si>
    <t>к приказу ПАО "Россети Юг"</t>
  </si>
  <si>
    <t>приказом ПАО "Россети Юг"</t>
  </si>
  <si>
    <t>филиала ПАО "Россети Юг" - "Ростовэнерго"</t>
  </si>
  <si>
    <t>Испытание защитных средств (перчатки, боты) в стационарной лаборатории</t>
  </si>
  <si>
    <t>Испытание измерительной штанги в стационарной лаборатории</t>
  </si>
  <si>
    <t>Испытание защитных средств (указателей НН) в стационарной лаборатории</t>
  </si>
  <si>
    <t>Испытание защитных средств (указателей ВН) в стационарной лаборатории</t>
  </si>
  <si>
    <t>Испытание защитных средств (электроизмерительные клещи до 1000 В) в стационарной лаборатории</t>
  </si>
  <si>
    <t>Испытание защитных средств (инструмент с изол. рукоятками) в стационарной лаборатории</t>
  </si>
  <si>
    <t>Проведение хроматографического анализа трансформаторного масла</t>
  </si>
  <si>
    <t>Определение реакции водной вытяжки трансформаторного масла</t>
  </si>
  <si>
    <t>Определение кислотного числа</t>
  </si>
  <si>
    <t>Определение температуры вспышки</t>
  </si>
  <si>
    <t>Содержание воды в трансформаторном масле</t>
  </si>
  <si>
    <t>Содержания механических примесей в трансформаторном масле</t>
  </si>
  <si>
    <t>Определение tg б трансформаторного масла</t>
  </si>
  <si>
    <t>Определение электрической прочности трансформаторного масла</t>
  </si>
  <si>
    <t>Проверка стабильности масла против окисления</t>
  </si>
  <si>
    <t>Измерение сопротивления изоляции осветительной сети до 1000В (при вывинченных лампах) на один провод</t>
  </si>
  <si>
    <t xml:space="preserve"> 3.6.4.4</t>
  </si>
  <si>
    <t xml:space="preserve"> 3.6.4.5</t>
  </si>
  <si>
    <t xml:space="preserve"> 3.6.4.6</t>
  </si>
  <si>
    <t xml:space="preserve"> 3.6.4.7</t>
  </si>
  <si>
    <t xml:space="preserve"> 3.6.4.8</t>
  </si>
  <si>
    <t xml:space="preserve"> 3.6.4.9</t>
  </si>
  <si>
    <t xml:space="preserve"> 3.6.4.10</t>
  </si>
  <si>
    <t xml:space="preserve"> 3.6.4.11</t>
  </si>
  <si>
    <t xml:space="preserve"> 3.6.4.12</t>
  </si>
  <si>
    <t xml:space="preserve"> 3.6.4.13</t>
  </si>
  <si>
    <t xml:space="preserve"> 3.6.4.14</t>
  </si>
  <si>
    <t xml:space="preserve"> 3.6.4.15</t>
  </si>
  <si>
    <t xml:space="preserve"> 3.6.4.16</t>
  </si>
  <si>
    <t xml:space="preserve"> 3.6.4.17</t>
  </si>
  <si>
    <t xml:space="preserve"> 3.6.4.18</t>
  </si>
  <si>
    <t xml:space="preserve"> 3.6.4.19</t>
  </si>
  <si>
    <t xml:space="preserve"> 3.6.4.20</t>
  </si>
  <si>
    <t xml:space="preserve"> 3.6.4.21</t>
  </si>
  <si>
    <t xml:space="preserve"> 3.6.4.22</t>
  </si>
  <si>
    <t xml:space="preserve"> 3.6.4.23</t>
  </si>
  <si>
    <t xml:space="preserve"> 3.6.4.24</t>
  </si>
  <si>
    <t xml:space="preserve"> 3.6.4.25</t>
  </si>
  <si>
    <t xml:space="preserve"> 3.6.4.26</t>
  </si>
  <si>
    <t xml:space="preserve"> 3.6.4.27</t>
  </si>
  <si>
    <t xml:space="preserve"> 3.6.4.28</t>
  </si>
  <si>
    <t xml:space="preserve"> 3.6.4.29</t>
  </si>
  <si>
    <t xml:space="preserve"> 3.6.4.30</t>
  </si>
  <si>
    <t xml:space="preserve"> 3.6.4.31</t>
  </si>
  <si>
    <t xml:space="preserve"> 3.6.4.32</t>
  </si>
  <si>
    <t xml:space="preserve"> 3.6.4.33</t>
  </si>
  <si>
    <t xml:space="preserve"> 3.6.4.34</t>
  </si>
  <si>
    <t xml:space="preserve"> 3.6.4.35</t>
  </si>
  <si>
    <t xml:space="preserve"> 3.6.4.36</t>
  </si>
  <si>
    <t xml:space="preserve"> 3.6.4.37</t>
  </si>
  <si>
    <t xml:space="preserve"> 3.6.7.3</t>
  </si>
  <si>
    <t xml:space="preserve"> 3.6.7.4</t>
  </si>
  <si>
    <t xml:space="preserve"> 3.6.7.5</t>
  </si>
  <si>
    <t xml:space="preserve"> 3.6.8.6</t>
  </si>
  <si>
    <t xml:space="preserve"> 3.6.8.7</t>
  </si>
  <si>
    <t xml:space="preserve"> 3.6.8.8</t>
  </si>
  <si>
    <t>1 договор / день / объект</t>
  </si>
  <si>
    <t>1 договор / день</t>
  </si>
  <si>
    <t>2.6.1.10</t>
  </si>
  <si>
    <t xml:space="preserve">ПАЗ 3205 Автобус </t>
  </si>
  <si>
    <t xml:space="preserve">УАЗ-2206 </t>
  </si>
  <si>
    <t>1.5.1.2.</t>
  </si>
  <si>
    <t>Предоставление доступа сторонним лицам к ВЛ для размещения ВОЛС в случае использования ОКСН</t>
  </si>
  <si>
    <t>1.5.1.2.1</t>
  </si>
  <si>
    <t>ВЛ 0,4 кВ</t>
  </si>
  <si>
    <t>1 опора/месяц</t>
  </si>
  <si>
    <t>1.5.1.2.2</t>
  </si>
  <si>
    <t>ВЛ 6-20 кВ</t>
  </si>
  <si>
    <t>1.5.1.2.3</t>
  </si>
  <si>
    <t>ВЛ 35 кВ</t>
  </si>
  <si>
    <t>1.5.1.2.4</t>
  </si>
  <si>
    <t>ВЛ 110 кВ</t>
  </si>
  <si>
    <t>1.5.1.3.</t>
  </si>
  <si>
    <t>Предоставление доступа сторонним лицам к ВЛ для размещения ВОЛС в случае использования ОКГТ</t>
  </si>
  <si>
    <t>1.5.1.3.1</t>
  </si>
  <si>
    <t>1.5.1.3.2</t>
  </si>
  <si>
    <t>Услуги по размещению телекоммуникационного оборудования связи</t>
  </si>
  <si>
    <t>1.5.1.1.</t>
  </si>
  <si>
    <t>Установка приборов учета по обращению потребителя</t>
  </si>
  <si>
    <t>2.5.1</t>
  </si>
  <si>
    <t>2.5.1.1</t>
  </si>
  <si>
    <t>2.5.1.2</t>
  </si>
  <si>
    <t>2.5.1.3</t>
  </si>
  <si>
    <t>2.5.2</t>
  </si>
  <si>
    <t>2.5.2.1</t>
  </si>
  <si>
    <t>2.5.2.2</t>
  </si>
  <si>
    <t>2.5.2.3</t>
  </si>
  <si>
    <t>2.5.3</t>
  </si>
  <si>
    <t>2.5.3.1</t>
  </si>
  <si>
    <t>2.5.3.2</t>
  </si>
  <si>
    <t>2.5.3.3</t>
  </si>
  <si>
    <t>2.5.4</t>
  </si>
  <si>
    <t>2.5.4.1</t>
  </si>
  <si>
    <t>2.5.4.2</t>
  </si>
  <si>
    <t>2.5.4.3</t>
  </si>
  <si>
    <t>2.5.5</t>
  </si>
  <si>
    <t>2.5.5.1</t>
  </si>
  <si>
    <t>2.5.5.2</t>
  </si>
  <si>
    <t>2.5.5.3</t>
  </si>
  <si>
    <t>2.5.6</t>
  </si>
  <si>
    <t>2.5.6.1</t>
  </si>
  <si>
    <t>2.5.6.2</t>
  </si>
  <si>
    <t>2.5.6.3</t>
  </si>
  <si>
    <t>2.5.6.4</t>
  </si>
  <si>
    <t>2.5.6.5</t>
  </si>
  <si>
    <t>2.5.6.6</t>
  </si>
  <si>
    <t>2.5.6.7</t>
  </si>
  <si>
    <t>2.5.7</t>
  </si>
  <si>
    <t>2.5.7.1</t>
  </si>
  <si>
    <t>2.5.7.2</t>
  </si>
  <si>
    <t>2.5.7.3</t>
  </si>
  <si>
    <t>2.5.7.4</t>
  </si>
  <si>
    <t>2.5.7.5</t>
  </si>
  <si>
    <t>2.5.7.6</t>
  </si>
  <si>
    <t>2.5.7.7</t>
  </si>
  <si>
    <t>2.5.8</t>
  </si>
  <si>
    <t>2.5.8.1</t>
  </si>
  <si>
    <t>2.5.8.2</t>
  </si>
  <si>
    <t>2.5.8.3</t>
  </si>
  <si>
    <t>2.5.8.4</t>
  </si>
  <si>
    <t>2.5.9</t>
  </si>
  <si>
    <t>2.5.9.1</t>
  </si>
  <si>
    <t>2.5.9.2</t>
  </si>
  <si>
    <t>2.5.10</t>
  </si>
  <si>
    <t>2.5.10.1</t>
  </si>
  <si>
    <t>2.5.10.2</t>
  </si>
  <si>
    <t>2.5.11</t>
  </si>
  <si>
    <t>2.5.11.1</t>
  </si>
  <si>
    <t>2.5.11.2</t>
  </si>
  <si>
    <t>2.5.12</t>
  </si>
  <si>
    <t>2.5.12.1</t>
  </si>
  <si>
    <t>2.5.12.2</t>
  </si>
  <si>
    <t>2.5.13</t>
  </si>
  <si>
    <t>2.5.13.1</t>
  </si>
  <si>
    <t>2.5.13.2</t>
  </si>
  <si>
    <t>2.5.14</t>
  </si>
  <si>
    <t>2.5.14.1</t>
  </si>
  <si>
    <t>2.5.14.2</t>
  </si>
  <si>
    <t>2.5.15</t>
  </si>
  <si>
    <t>2.5.15.1</t>
  </si>
  <si>
    <t>2.5.15.2</t>
  </si>
  <si>
    <t>2.5.15.3</t>
  </si>
  <si>
    <t>2.5.15.4</t>
  </si>
  <si>
    <t>2.5.15.5</t>
  </si>
  <si>
    <t>2.5.15.6</t>
  </si>
  <si>
    <t>2.5.15.7</t>
  </si>
  <si>
    <t>2.5.16</t>
  </si>
  <si>
    <t>2.5.16.1</t>
  </si>
  <si>
    <t>2.5.16.2</t>
  </si>
  <si>
    <t>2.5.17</t>
  </si>
  <si>
    <t>2.5.17.1</t>
  </si>
  <si>
    <t>2.5.17.2</t>
  </si>
  <si>
    <t>2.5.17.3</t>
  </si>
  <si>
    <t>2.5.18</t>
  </si>
  <si>
    <t>2.5.18.1</t>
  </si>
  <si>
    <t>2.5.18.2</t>
  </si>
  <si>
    <t>2.5.18.3</t>
  </si>
  <si>
    <t>2.5.19</t>
  </si>
  <si>
    <t>2.5.19.1</t>
  </si>
  <si>
    <t>2.5.19.2</t>
  </si>
  <si>
    <t>2.5.19.3</t>
  </si>
  <si>
    <t>2.5.20</t>
  </si>
  <si>
    <t>2.5.20.1</t>
  </si>
  <si>
    <t>2.5.20.2</t>
  </si>
  <si>
    <t>2.5.20.3</t>
  </si>
  <si>
    <t>2.5.20.4</t>
  </si>
  <si>
    <t>2.5.20.5</t>
  </si>
  <si>
    <t>2.5.20.6</t>
  </si>
  <si>
    <t>2.5.20.7</t>
  </si>
  <si>
    <t>2.5.21</t>
  </si>
  <si>
    <t>2.5.21.1</t>
  </si>
  <si>
    <t>2.5.21.2</t>
  </si>
  <si>
    <t>2.5.21.3</t>
  </si>
  <si>
    <t>2.5.21.4</t>
  </si>
  <si>
    <t>2.5.21.5</t>
  </si>
  <si>
    <t>2.5.21.6</t>
  </si>
  <si>
    <t>2.5.22</t>
  </si>
  <si>
    <t>2.5.22.1</t>
  </si>
  <si>
    <t>2.5.22.2</t>
  </si>
  <si>
    <t>2.5.22.3</t>
  </si>
  <si>
    <t>2.5.22.4</t>
  </si>
  <si>
    <t>2.5.22.5</t>
  </si>
  <si>
    <t>2.5.22.6</t>
  </si>
  <si>
    <t>2.5.22.7</t>
  </si>
  <si>
    <t>2.5.22.8</t>
  </si>
  <si>
    <t>2.5.22.9</t>
  </si>
  <si>
    <t>2.5.22.10</t>
  </si>
  <si>
    <t>2.5.23</t>
  </si>
  <si>
    <t>2.5.23.1</t>
  </si>
  <si>
    <t>2.5.23.2</t>
  </si>
  <si>
    <t>2.5.23.3</t>
  </si>
  <si>
    <t>2.5.23.4</t>
  </si>
  <si>
    <t>2.5.23.5</t>
  </si>
  <si>
    <t>2.5.23.6</t>
  </si>
  <si>
    <t>2.5.23.7</t>
  </si>
  <si>
    <t>2.5.24</t>
  </si>
  <si>
    <t>2.5.24.1</t>
  </si>
  <si>
    <t>2.5.24.2</t>
  </si>
  <si>
    <t>2.5.24.3</t>
  </si>
  <si>
    <t>2.5.25</t>
  </si>
  <si>
    <t>2.5.25.1</t>
  </si>
  <si>
    <t>2.5.25.2</t>
  </si>
  <si>
    <t>2.5.25.3</t>
  </si>
  <si>
    <t>2.5.25.4</t>
  </si>
  <si>
    <t>2.5.25.5</t>
  </si>
  <si>
    <t>2.5.26</t>
  </si>
  <si>
    <t>2.5.26.1</t>
  </si>
  <si>
    <t>2.5.26.2</t>
  </si>
  <si>
    <t>2.5.26.3</t>
  </si>
  <si>
    <t>2.5.26.4</t>
  </si>
  <si>
    <t>2.5.26.5</t>
  </si>
  <si>
    <t>2.5.26.6</t>
  </si>
  <si>
    <t>2.5.26.7</t>
  </si>
  <si>
    <t>2.5.26.8</t>
  </si>
  <si>
    <t>2.5.26.9</t>
  </si>
  <si>
    <t>2.5.26.10</t>
  </si>
  <si>
    <t>Испытание трехфазных двухобмоточных трансформаторов 3-20 кВ</t>
  </si>
  <si>
    <t>при капитальном ремонте</t>
  </si>
  <si>
    <t>1 трансформатор</t>
  </si>
  <si>
    <t>межремонтные</t>
  </si>
  <si>
    <t>при текущем ремонте</t>
  </si>
  <si>
    <t>Испытание трехфазных двухобмоточных трансформаторов 35 кВ</t>
  </si>
  <si>
    <t>Испытание трехфазных двухобмоточных трансформаторов 110 кВ</t>
  </si>
  <si>
    <t>Испытание трехфазных трехобмоточных трансформаторов 35 кВ</t>
  </si>
  <si>
    <t>Испытание трехфазных трехобмоточных трансформаторов 110 кВ</t>
  </si>
  <si>
    <t>Испытание трехфазных трансформаторов напряжения до 10 кВ включительно</t>
  </si>
  <si>
    <t>Осмотр и оценка состояния изоляции первичной обмотки, при капитальном ремонте</t>
  </si>
  <si>
    <t>Измерение сопротивления изоляции  первичной  обмотки, при капитальном ремонте</t>
  </si>
  <si>
    <t>Измерение сопротивления изоляции  первичной  обмотки, межремонтные</t>
  </si>
  <si>
    <t>Испытание изоляции обмотки повышенным напряжением частоты 50 Гц, при капитальном ремонте</t>
  </si>
  <si>
    <t>Испытание изоляции вторичных обмоток повышенным напряжением частоты 50 Гц, при капитальном ремонте</t>
  </si>
  <si>
    <t>Испытание трехфазных трансформаторов напряжения 35 кВ</t>
  </si>
  <si>
    <t>Измерение сопротивления изоляции первичной обмотки, при капитальном ремонте</t>
  </si>
  <si>
    <t>Измерение сопротивления изоляции первичной обмотки, межремонтные</t>
  </si>
  <si>
    <t>Испытание изоляции первичной обмотки повышенным напряжением частоты 50 Гц, при капитальном ремонте</t>
  </si>
  <si>
    <t>Испытание трехфазных трансформаторов напряжения 110 кВ</t>
  </si>
  <si>
    <t>Осмотр и оценка состояния изоляции обмотки, при капитальном ремонте</t>
  </si>
  <si>
    <t>Измерение сопротивления изоляции обмотки, при капитальном ремонте</t>
  </si>
  <si>
    <t>Испытание трансформаторов тока до 10 кВ включительно</t>
  </si>
  <si>
    <t>Испытание трансформаторов тока 35 кВ</t>
  </si>
  <si>
    <t>Испытание трансформаторов тока 110 кВ</t>
  </si>
  <si>
    <t>Испытания масляных и электромагнитных выключателей 6-10 кВ</t>
  </si>
  <si>
    <t>1 фаза выключателя</t>
  </si>
  <si>
    <t>Испытания масляных и электромагнитных выключателей 35 кВ</t>
  </si>
  <si>
    <t>Испытания масляных и электромагнитных выключателей 110 кВ</t>
  </si>
  <si>
    <t>Испытания вводов с фарфоровой изоляцией напряжением до 35 кВ включительно распределительных устройств</t>
  </si>
  <si>
    <t>1 ввод</t>
  </si>
  <si>
    <t>Осмотр и оценка состояния изоляции вводов с фарфоровой изоляцией напряжением до 35 кВ включительно распределительных устройств при капитальном ремонте</t>
  </si>
  <si>
    <t>Осмотр и оценка состояния изоляции вводов с фарфоровой изоляцией напряжением до 35 кВ включительно распределительных устройств межремонтные</t>
  </si>
  <si>
    <t>Измерение сопротивления изоляции вводов с фарфоровой изоляцией напряжением до 35 кВ включительно распределительных устройств при капитальном ремонте</t>
  </si>
  <si>
    <t>Измерение сопротивления изоляции вводов с фарфоровой изоляцией напряжением до 35 кВ включительно распределительных устройств межремонтное</t>
  </si>
  <si>
    <t>Испытание вводов с фарфоровой изоляцией напряжением до 35 кВ включительно распределительных устройств повышенным напряжением частоты 50 Гц при капитальном ремонте</t>
  </si>
  <si>
    <t>Испытание вводов с фарфоровой изоляцией напряжением до 35 кВ включительно распределительных устройств повышенным напряжением частоты 50 Гц межремонтное</t>
  </si>
  <si>
    <t>Испытания отделителей, короткозамыкателей, разъединителей,  заземляющих ножей напряжением до 20 кВ включительно</t>
  </si>
  <si>
    <t>1 фаза аппарата</t>
  </si>
  <si>
    <t>Осмотр и оценка состояния изоляции, при капитальном ремонте</t>
  </si>
  <si>
    <t>Испытание многоэлементной основной изоляции повышенным напряжением частоты 50 Гц, при капитальном ремонте</t>
  </si>
  <si>
    <t>Испытания отделителей, короткозамыкателей, разъединителей,  заземляющих ножей напряжением 35 кВ</t>
  </si>
  <si>
    <t>Испытания отделителей, короткозамыкателей, разъединителей,  заземляющих ножей напряжением 110 кВ</t>
  </si>
  <si>
    <t>Испытания вентильных разрядников напряжением до 10 кВ включительно</t>
  </si>
  <si>
    <t>1 разрядник</t>
  </si>
  <si>
    <t>Осмотр и оценка состояния изоляции разрядников, при капитальном ремонте</t>
  </si>
  <si>
    <t>Осмотр и оценка состояния изоляции разрядников, межремонтные испытания</t>
  </si>
  <si>
    <t>Осмотр и оценка состояния изоляции разрядников, при текущем ремонте</t>
  </si>
  <si>
    <t>Измерение тока проводимости микроамперметром, при капитальном ремонте</t>
  </si>
  <si>
    <t>Измерение тока проводимости микроамперметром, межремонтные испытания</t>
  </si>
  <si>
    <t>Измерение пробивного напряжения, при капитальном ремонте</t>
  </si>
  <si>
    <t>Ревизия регистраторов срабатывания, межремонтные испытания</t>
  </si>
  <si>
    <t>Ревизия регистраторов срабатывания, при текущем ремонте</t>
  </si>
  <si>
    <t>Испытания вентильных разрядников напряжением 35 кВ</t>
  </si>
  <si>
    <t>Испытания вентильных разрядников напряжением 110 кВ</t>
  </si>
  <si>
    <t>Измерение тока проводимости под рабочим напряжением измерительной штангой, межремонтные испытания</t>
  </si>
  <si>
    <t>Испытания конденсаторов связи, отбора мощности напряжением до 110 кВ включительно</t>
  </si>
  <si>
    <t>1 конденсатор</t>
  </si>
  <si>
    <t>Осмотр и оценка состояния изоляции конденсаторов, при капитальном ремонте</t>
  </si>
  <si>
    <t>Осмотр и оценка состояния изоляции конденсаторов, межремонтные испытания</t>
  </si>
  <si>
    <t>Измерение сопротивления изоляции, при капитальном ремонте</t>
  </si>
  <si>
    <t>Измерение емкости, при капитальном ремонте</t>
  </si>
  <si>
    <t>Измерение тангенса угла диэлектрических потерь, при капитальном ремонте</t>
  </si>
  <si>
    <t>Испытание средств защиты, инструмента и испытательных установок</t>
  </si>
  <si>
    <t>Испытания переключающих устройств силовых трансформаторов напряжением до 110 кВ включительно, число ступеней регулирования 9-12</t>
  </si>
  <si>
    <t>1 устройство</t>
  </si>
  <si>
    <t>Измерение переходных сопротивлений контактов постоянному току, при капитальном ремонте</t>
  </si>
  <si>
    <t>Измерение переходных сопротивлений контактов постоянному току, при текущем ремонте</t>
  </si>
  <si>
    <t>Испытание изоляции повышенным напряжением частоты 50 Гц, при капитальном ремонте</t>
  </si>
  <si>
    <t>Измерение электрического сопротивления токоограничивающих резисторов, при капитальном ремонте</t>
  </si>
  <si>
    <t>Измерение электрического сопротивления токоограничивающих резисторов, при текущем ремонте</t>
  </si>
  <si>
    <t>Снятие круговой диаграммы, при капитальном ремонте</t>
  </si>
  <si>
    <t>Осциллографирование процесса переключения контактов контактора, при капитальном ремонте</t>
  </si>
  <si>
    <t>Осциллографирование процесса переключения контактов контактора, при текущем ремонте</t>
  </si>
  <si>
    <t>Испытания переключающих устройств силовых трансформаторов напряжением до 110 кВ включительно, число ступеней регулирования 16-18</t>
  </si>
  <si>
    <t>1 реактор</t>
  </si>
  <si>
    <t>Измерение сопротивления изоляции обмоток относительно болтов крепления, при капитальном ремонте</t>
  </si>
  <si>
    <t>Испытание опорных изоляторов реактора повышенным напряжением частоты 50 Гц, при капитальном ремонте</t>
  </si>
  <si>
    <t>Испытания комплектных распределительных устройств внутренней и наружной установки (кроме измерений и испытаний установленного в них оборудования)</t>
  </si>
  <si>
    <t>1 ячейка</t>
  </si>
  <si>
    <t>Измерение сопротивления изоляции элементов,  выполненных из органических материалов, при капитальном ремонте</t>
  </si>
  <si>
    <t>Испытание изоляции первичных цепей повышенным напряжением частоты 50 Гц, при капитальном ремонте</t>
  </si>
  <si>
    <t>Измерение сопротивления контактов постоянному току, при капитальном ремонте</t>
  </si>
  <si>
    <t>Испытание оборудования электрооборудования до 1000В</t>
  </si>
  <si>
    <r>
      <t>Услуги по отключению / подключению потребителей, являющихся собственниками и пользователями помещений в многоквартирных домах и жилых домах</t>
    </r>
    <r>
      <rPr>
        <vertAlign val="superscript"/>
        <sz val="12"/>
        <rFont val="Times New Roman"/>
        <family val="1"/>
        <charset val="204"/>
      </rPr>
      <t>2</t>
    </r>
  </si>
  <si>
    <t>8.3.3</t>
  </si>
  <si>
    <t>8.3.4</t>
  </si>
  <si>
    <t>Подготовка заключения, подготовка и выдача технического задания (технических условий), расчета стартовой стоимости на перемещение/перекладку КЛ 0,4-10 кВ</t>
  </si>
  <si>
    <t>Участие в работе комиссии по приемке КЛ</t>
  </si>
  <si>
    <t>8.3.3.1</t>
  </si>
  <si>
    <t>8.3.3.2</t>
  </si>
  <si>
    <t>8.3.3.3</t>
  </si>
  <si>
    <t>8.3.3.4</t>
  </si>
  <si>
    <t>8.3.3.5</t>
  </si>
  <si>
    <t>8.3.3.6</t>
  </si>
  <si>
    <t>Подготовка заключения, подготовка и выдача технического задания (технических условий),расчета стартовой стоимости на перемещение/перекладку КЛ 35-110 кВ</t>
  </si>
  <si>
    <t>1 ТУ / 1 объект</t>
  </si>
  <si>
    <t>1 договор</t>
  </si>
  <si>
    <t>8.3.4.1</t>
  </si>
  <si>
    <t>8.3.4.2</t>
  </si>
  <si>
    <t>8.3.4.3</t>
  </si>
  <si>
    <t>8.3.4.4</t>
  </si>
  <si>
    <t>8.3.4.5</t>
  </si>
  <si>
    <t>8.3.4.6</t>
  </si>
  <si>
    <r>
      <t>Исполнение надзорных функций при проведении работ по перемещению объектов электроэнергетики</t>
    </r>
    <r>
      <rPr>
        <vertAlign val="superscript"/>
        <sz val="12"/>
        <rFont val="Times New Roman"/>
        <family val="1"/>
        <charset val="204"/>
      </rPr>
      <t>5</t>
    </r>
  </si>
  <si>
    <t>Испытания вводов c бумажно-бакелитовой (в том числе мастиконаполненные) изоляцией напряжением до 110 кВ включительно распределительных устройств</t>
  </si>
  <si>
    <t>Испытания вводов с бумажно-бакелитовой (в том числе мастиконаполненные) изоляцией напряжением до 110 кВ включительно распределительных устройств при капитальном ремонте</t>
  </si>
  <si>
    <t>Испытания вводов с бумажно-бакелитовой (в том числе мастиконаполненные) изоляцией напряжением до 110 кВ включительно распределительных устройств межремонтные</t>
  </si>
  <si>
    <t>2.5.20.8</t>
  </si>
  <si>
    <t>2.5.20.9</t>
  </si>
  <si>
    <t>2.5.20.10</t>
  </si>
  <si>
    <t>2.5.20.11</t>
  </si>
  <si>
    <t>2.5.21.7</t>
  </si>
  <si>
    <t>2.5.21.8</t>
  </si>
  <si>
    <t>2.5.21.9</t>
  </si>
  <si>
    <t>2.5.21.10</t>
  </si>
  <si>
    <t>2.5.24.4</t>
  </si>
  <si>
    <t>2.5.24.5</t>
  </si>
  <si>
    <t>2.5.24.6</t>
  </si>
  <si>
    <t>2.5.25.6</t>
  </si>
  <si>
    <t>2.5.25.7</t>
  </si>
  <si>
    <t>2.5.25.8</t>
  </si>
  <si>
    <t>2.5.25.9</t>
  </si>
  <si>
    <t>2.5.25.10</t>
  </si>
  <si>
    <t>2.5.27</t>
  </si>
  <si>
    <t>2.5.27.1</t>
  </si>
  <si>
    <t>2.5.27.2</t>
  </si>
  <si>
    <t>2.5.27.3</t>
  </si>
  <si>
    <t>2.5.28</t>
  </si>
  <si>
    <t>2.5.28.1</t>
  </si>
  <si>
    <t>2.5.28.2</t>
  </si>
  <si>
    <t>2.5.28.3</t>
  </si>
  <si>
    <t>2.5.28.4</t>
  </si>
  <si>
    <t>2.5.28.5</t>
  </si>
  <si>
    <t>2.5.15.8</t>
  </si>
  <si>
    <t>2.5.22.11</t>
  </si>
  <si>
    <t>2.5.29</t>
  </si>
  <si>
    <t>2.5.29.1</t>
  </si>
  <si>
    <t>2.5.29.2</t>
  </si>
  <si>
    <t>2.5.29.3</t>
  </si>
  <si>
    <t>2.5.29.4</t>
  </si>
  <si>
    <t>2.5.29.5</t>
  </si>
  <si>
    <t>2.5.29.6</t>
  </si>
  <si>
    <t>2.5.29.7</t>
  </si>
  <si>
    <t>2.5.29.8</t>
  </si>
  <si>
    <t>2.5.29.9</t>
  </si>
  <si>
    <t>2.5.29.10</t>
  </si>
  <si>
    <t>8.3.5</t>
  </si>
  <si>
    <t>8.3.5.1</t>
  </si>
  <si>
    <t>8.3.5.2</t>
  </si>
  <si>
    <t>8.3.5.3</t>
  </si>
  <si>
    <t>8.3.5.4</t>
  </si>
  <si>
    <t>8.3.5.5</t>
  </si>
  <si>
    <t>8.3.5.6</t>
  </si>
  <si>
    <t>Подготовка заключения, подготовка и выдача технического задания (технических условий), расчета стартовой стоимости на перемещение/перекладку КЛС</t>
  </si>
  <si>
    <t>Участие в работе комиссии по приемке КЛС</t>
  </si>
  <si>
    <t>8.2.85</t>
  </si>
  <si>
    <t>БКМ-317-01 на базе  ГАЗ-3897 К192ОР 161</t>
  </si>
  <si>
    <t xml:space="preserve">Для физических лиц (частные жилые дома) </t>
  </si>
  <si>
    <t>Для юридических лиц</t>
  </si>
  <si>
    <t>Для юридических лиц (сложные проекты)</t>
  </si>
  <si>
    <r>
      <t>Испытание и диагностика электрооборудования, защитных средств и приборов</t>
    </r>
    <r>
      <rPr>
        <vertAlign val="superscript"/>
        <sz val="12"/>
        <rFont val="Times New Roman"/>
        <family val="1"/>
        <charset val="204"/>
      </rPr>
      <t>1</t>
    </r>
  </si>
  <si>
    <r>
      <t>Услуга по предоставлению информации для разработки схемы выдачи мощности</t>
    </r>
    <r>
      <rPr>
        <vertAlign val="superscript"/>
        <sz val="12"/>
        <rFont val="Times New Roman"/>
        <family val="1"/>
        <charset val="204"/>
      </rPr>
      <t>3</t>
    </r>
  </si>
  <si>
    <r>
      <t>Оказание услуг по восстановлению ранее выданных условий и выдача их дубликатов в отношении ранее присоединенных энергопринимающих устройств (без увеличения мощности)</t>
    </r>
    <r>
      <rPr>
        <vertAlign val="superscript"/>
        <sz val="12"/>
        <rFont val="Times New Roman"/>
        <family val="1"/>
        <charset val="204"/>
      </rPr>
      <t>4</t>
    </r>
  </si>
  <si>
    <r>
      <t>Оказание услуг по предоставлению информации в целях перераспределения присоединенной мощности</t>
    </r>
    <r>
      <rPr>
        <vertAlign val="superscript"/>
        <sz val="12"/>
        <rFont val="Times New Roman"/>
        <family val="1"/>
        <charset val="204"/>
      </rPr>
      <t xml:space="preserve">4 </t>
    </r>
  </si>
  <si>
    <r>
      <rPr>
        <vertAlign val="superscript"/>
        <sz val="12"/>
        <rFont val="Times New Roman"/>
        <family val="1"/>
        <charset val="204"/>
      </rPr>
      <t>1</t>
    </r>
    <r>
      <rPr>
        <sz val="12"/>
        <rFont val="Times New Roman"/>
        <family val="1"/>
        <charset val="204"/>
      </rPr>
      <t xml:space="preserve">В единичных расценках на работы не учтены затраты на проезд работников и техники к месту проведения работ и обратно. При определении стоимости работ необходимо дополнительно учитывать затраты на проезд работников и техники к месту проведения работ и обратно с помощью расценок раздела 8.2. </t>
    </r>
  </si>
  <si>
    <r>
      <rPr>
        <vertAlign val="super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>Размер компенсации ограничен условием, изложенным в пункте 121(1) Постановления Правительства РФ от 06.05.2011 № 354 "О предоставлении коммунальных услуг собственникам и пользователям помещений в многоквартирных домах и жилых домов".</t>
    </r>
  </si>
  <si>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Стоимость услуги является ориентировочной и подлежит уточнению при заключении договора с Заявителем, зависит от необходимого Заявителю объема информации и степени сложности запроса. </t>
    </r>
  </si>
  <si>
    <r>
      <rPr>
        <vertAlign val="superscript"/>
        <sz val="12"/>
        <rFont val="Times New Roman"/>
        <family val="1"/>
        <charset val="204"/>
      </rPr>
      <t>4</t>
    </r>
    <r>
      <rPr>
        <sz val="12"/>
        <rFont val="Times New Roman"/>
        <family val="1"/>
        <charset val="204"/>
      </rPr>
      <t>Размер компенсации ограничен условием, изложенным в пункте 79 "Правил технологического присоединения энергопринимающих устройств потребителей электрической энергии, объектов по производству электрической энергии, а также объектов электросетевого хозяйства, принадлежащих сетевым организациям и иным лицам, к электрическим сетям", утвержденных Постановлением Правительства РФ от 27 декабря 2004 г. N 861.</t>
    </r>
  </si>
  <si>
    <r>
      <rPr>
        <vertAlign val="superscript"/>
        <sz val="12"/>
        <rFont val="Times New Roman"/>
        <family val="1"/>
        <charset val="204"/>
      </rPr>
      <t>5</t>
    </r>
    <r>
      <rPr>
        <sz val="12"/>
        <rFont val="Times New Roman"/>
        <family val="1"/>
        <charset val="204"/>
      </rPr>
      <t xml:space="preserve">В стоимости работ не учтены затраты на проезд работников и техники к месту проведения работ и обратно. При определении стоимости работ необходимо дополнительно учитывать затраты на проезд работников и техники к месту проведения работ и обратно с помощью расценок раздела 8.2. При определении стоимости услуг с использованием данных расценок при изменении физического объема услуги изменяется пропорционально количеству только стоимость, зависящая от переменной части расценки. Например, Стоимость Услуг без учета НДС = Постоянная часть расценки + Переменная часть расценки * Физический объем услуги, руб.    </t>
    </r>
  </si>
  <si>
    <t>2.6.2</t>
  </si>
  <si>
    <t>Испытания силовых кабельных линий напряжением до 1 кВ включительно:</t>
  </si>
  <si>
    <t>1 кабель</t>
  </si>
  <si>
    <t>Испытания силовых кабельных линий напряжением 6-20 кВ:</t>
  </si>
  <si>
    <t>Испытания силовых кабельных линий напряжением 6-20 кВ: при капитальном ремонте</t>
  </si>
  <si>
    <t>Испытания силовых кабельных линий напряжением 6-20 кВ: межремонтные</t>
  </si>
  <si>
    <t>Осмотр концевой разделки кабеля, при капитальном ремонте</t>
  </si>
  <si>
    <t>Осмотр концевой разделки кабеля, межремонтные испытания</t>
  </si>
  <si>
    <t>Измерение сопротивления изоляции, межремонтные испытания</t>
  </si>
  <si>
    <t>Испытание повышенным выпрямленным напряжением, при капитальном ремонте</t>
  </si>
  <si>
    <t>Испытание повышенным выпрямленным напряжением, межремонтные испытания</t>
  </si>
  <si>
    <t>Фазировка кабельных линий, при капитальном ремонте</t>
  </si>
  <si>
    <t>Фазировка кабельных линий, межремонтные испытания</t>
  </si>
  <si>
    <t>Испытания силовых кабельных линий напряжением 35-110 кВ:</t>
  </si>
  <si>
    <t>Испытания силовых кабельных линий напряжением 35-110 кВ: при капитальном ремонте</t>
  </si>
  <si>
    <t>Испытания силовых кабельных линий напряжением 35-110 кВ: межремонтные</t>
  </si>
  <si>
    <t>Определение места повреждения силовых кабельных линий напряжением до 1 кВ включительно:</t>
  </si>
  <si>
    <t>Определение места повреждения силовых кабельных линий напряжением до 1 кВ включительно: межремонтные испытания</t>
  </si>
  <si>
    <t>1 повреждение</t>
  </si>
  <si>
    <t>Определение зоны предполагаемого повреждения одним из относительных методов, межремонтные испытания</t>
  </si>
  <si>
    <t>Уточнение места повреждения одним из абсолютных методов, межремонтные испытания</t>
  </si>
  <si>
    <t>Определение места повреждения силовых кабельных линий напряжением 6-20 кВ:</t>
  </si>
  <si>
    <t>Определение места повреждения силовых кабельных линий напряжением 6-20 кВ: межремонтные испытания</t>
  </si>
  <si>
    <t>2.6.2.1</t>
  </si>
  <si>
    <t>2.6.2.2</t>
  </si>
  <si>
    <t>2.6.2.3</t>
  </si>
  <si>
    <t>2.6.2.1.1</t>
  </si>
  <si>
    <t>2.6.2.1.2</t>
  </si>
  <si>
    <t>2.6.2.2.1</t>
  </si>
  <si>
    <t>2.6.2.2.2</t>
  </si>
  <si>
    <t>2.6.2.2.3</t>
  </si>
  <si>
    <t>2.6.2.2.4</t>
  </si>
  <si>
    <t>2.6.2.2.5</t>
  </si>
  <si>
    <t>2.6.2.2.6</t>
  </si>
  <si>
    <t>2.6.2.2.7</t>
  </si>
  <si>
    <t>2.6.2.2.8</t>
  </si>
  <si>
    <t>2.6.2.2.9</t>
  </si>
  <si>
    <t>2.6.2.2.10</t>
  </si>
  <si>
    <t>2.6.2.3.1</t>
  </si>
  <si>
    <t>2.6.2.3.2</t>
  </si>
  <si>
    <t>2.6.2.3.3</t>
  </si>
  <si>
    <t>2.6.2.3.4</t>
  </si>
  <si>
    <t>2.6.2.3.5</t>
  </si>
  <si>
    <t>2.6.2.3.6</t>
  </si>
  <si>
    <t>2.6.2.3.7</t>
  </si>
  <si>
    <t>2.6.2.3.8</t>
  </si>
  <si>
    <t>2.6.2.3.9</t>
  </si>
  <si>
    <t>2.6.2.3.10</t>
  </si>
  <si>
    <t>2.6.2.4</t>
  </si>
  <si>
    <t>2.6.2.4.1</t>
  </si>
  <si>
    <t>2.6.2.4.2</t>
  </si>
  <si>
    <t>2.6.2.4.3</t>
  </si>
  <si>
    <t>2.6.2.4.4</t>
  </si>
  <si>
    <t>2.6.2.4.5</t>
  </si>
  <si>
    <t>2.6.2.5</t>
  </si>
  <si>
    <t>2.6.2.5.1</t>
  </si>
  <si>
    <t>2.6.2.5.2</t>
  </si>
  <si>
    <t>2.6.2.5.3</t>
  </si>
  <si>
    <t>2.6.2.5.4</t>
  </si>
  <si>
    <t>2.6.2.5.5</t>
  </si>
  <si>
    <r>
      <t>Испытания силовых кабельных линий и опреление мест повреждения 
(для ПО ЦЭС)</t>
    </r>
    <r>
      <rPr>
        <vertAlign val="superscript"/>
        <sz val="12"/>
        <rFont val="Times New Roman"/>
        <family val="1"/>
        <charset val="204"/>
      </rPr>
      <t>1</t>
    </r>
  </si>
  <si>
    <t>3.2.1</t>
  </si>
  <si>
    <t>3.2.1.1</t>
  </si>
  <si>
    <t>Подведение СИП с использованием спец. техники (для 1-фазного ввода)</t>
  </si>
  <si>
    <t>1 ответвление</t>
  </si>
  <si>
    <t>Заземление трубостойки</t>
  </si>
  <si>
    <t>1 заземлитель</t>
  </si>
  <si>
    <t>Монтаж трубостойки L=4,4 м</t>
  </si>
  <si>
    <t>1 трубостойка</t>
  </si>
  <si>
    <t>1 щит</t>
  </si>
  <si>
    <t>3.2.2</t>
  </si>
  <si>
    <t>3.2.2.1</t>
  </si>
  <si>
    <t>Подведение СИП с использованием спец. техники (для 3-фазного ввода)</t>
  </si>
  <si>
    <t>3.2.3</t>
  </si>
  <si>
    <t>3.2.3.1</t>
  </si>
  <si>
    <t>3.2.3.2</t>
  </si>
  <si>
    <t>3.2.3.3</t>
  </si>
  <si>
    <t>3.2.4</t>
  </si>
  <si>
    <t>3.2.4.1</t>
  </si>
  <si>
    <t>3.2.4.2</t>
  </si>
  <si>
    <t>3.2.4.3</t>
  </si>
  <si>
    <t>1 шт</t>
  </si>
  <si>
    <t>Монтаж щита 24 модуля, кирпич</t>
  </si>
  <si>
    <t>3.2.5</t>
  </si>
  <si>
    <t>3.2.5.1</t>
  </si>
  <si>
    <t>3.2.5.2</t>
  </si>
  <si>
    <t>3.2.5.3</t>
  </si>
  <si>
    <t>3.2.5.4</t>
  </si>
  <si>
    <t>3.2.6</t>
  </si>
  <si>
    <t>3.2.6.1</t>
  </si>
  <si>
    <t>3.2.6.2</t>
  </si>
  <si>
    <t>3.2.6.3</t>
  </si>
  <si>
    <t>3.2.6.4</t>
  </si>
  <si>
    <t>3.2.7</t>
  </si>
  <si>
    <t>3.2.7.1</t>
  </si>
  <si>
    <t>3.2.7.2</t>
  </si>
  <si>
    <t>3.2.7.3</t>
  </si>
  <si>
    <t>3.2.7.4</t>
  </si>
  <si>
    <t>3.2.7.5</t>
  </si>
  <si>
    <t>3.2.8</t>
  </si>
  <si>
    <t>3.2.8.1</t>
  </si>
  <si>
    <t>3.2.8.2</t>
  </si>
  <si>
    <t>3.2.8.3</t>
  </si>
  <si>
    <t>3.2.8.4</t>
  </si>
  <si>
    <t>3.2.8.5</t>
  </si>
  <si>
    <t>3.2.8.6</t>
  </si>
  <si>
    <t>3.2.9</t>
  </si>
  <si>
    <t>3.2.9.1</t>
  </si>
  <si>
    <t>3.2.9.2</t>
  </si>
  <si>
    <t>3.2.9.3</t>
  </si>
  <si>
    <t>3.2.9.4</t>
  </si>
  <si>
    <t>3.2.9.5</t>
  </si>
  <si>
    <t>3.2.9.6</t>
  </si>
  <si>
    <t>3.2.9.7</t>
  </si>
  <si>
    <t>3.2.10</t>
  </si>
  <si>
    <t>3.2.10.1</t>
  </si>
  <si>
    <t>3.2.10.2</t>
  </si>
  <si>
    <t>3.2.10.3</t>
  </si>
  <si>
    <t>3.2.10.4</t>
  </si>
  <si>
    <t>3.2.10.5</t>
  </si>
  <si>
    <t>3.2.10.6</t>
  </si>
  <si>
    <t>3.2.10.7</t>
  </si>
  <si>
    <t>Монтаж щита</t>
  </si>
  <si>
    <t>Установка автоматических выключателей (ввод)</t>
  </si>
  <si>
    <t>Монтаж контура заземления</t>
  </si>
  <si>
    <t>Установка однополюсных автоматов в щитке</t>
  </si>
  <si>
    <t xml:space="preserve">ЗИЛ 130 (автокран г.п. 6,3т.)  </t>
  </si>
  <si>
    <t>ЗИЛ 450850 (самосвал)</t>
  </si>
  <si>
    <t xml:space="preserve">ЗИЛ 133ГЯ (автокран г.п.10т) </t>
  </si>
  <si>
    <t xml:space="preserve">ЗИЛ 131  бурильно-крановая машина D бур.750 мм.) </t>
  </si>
  <si>
    <t>ЗИЛ-131 ТВ26 (авто-вышка телескопическая, в.п. 26м.)</t>
  </si>
  <si>
    <t>ЗИЛ 431410 (автоподъемник ПГ22 в.п. 22м.)</t>
  </si>
  <si>
    <t>ЗИЛ 131 ТВ-26 (авто-вышка телескопическая, в.п. 26м)</t>
  </si>
  <si>
    <t xml:space="preserve">ГАЗ 3307 ЭТЛ (электролаборатория)        </t>
  </si>
  <si>
    <t>ГАЗ-66 (бригадный грузопассажирский)</t>
  </si>
  <si>
    <t xml:space="preserve">ГАЗ 33021 Газель (грузовой) </t>
  </si>
  <si>
    <t xml:space="preserve">ГАЗ 3308 (БКМ-317) бурильно-крановая машина) </t>
  </si>
  <si>
    <t xml:space="preserve">ГАЗ 3307 (Автогидроподъемник АПТ-17А, в.п 17м.) </t>
  </si>
  <si>
    <t>ГАЗ 3110 (легковой)</t>
  </si>
  <si>
    <t>ГАЗ-6601 (бригадный грузопассажирский)</t>
  </si>
  <si>
    <t>ГАЗ 330730 (грузовой бортовой)</t>
  </si>
  <si>
    <t xml:space="preserve">ГАЗ 3308 (Автогидроподъемник АТП-14.0, в.п 14м.) </t>
  </si>
  <si>
    <t>ГАЗ-31105 (легковой)</t>
  </si>
  <si>
    <t xml:space="preserve">ГАЗ-22177 "Соболь" (Грузопассажирский) </t>
  </si>
  <si>
    <t>ГАЗ 322132 (автобус 14 мест)</t>
  </si>
  <si>
    <t>ГАЗ 2705 (грузопассажирский)</t>
  </si>
  <si>
    <t xml:space="preserve">ГАЗ-66 ЭТЛ (электролаборатория) </t>
  </si>
  <si>
    <t>ГАЗ 52 (масловоз)</t>
  </si>
  <si>
    <t xml:space="preserve">КАМАЗ-65115 (самосвал) </t>
  </si>
  <si>
    <t xml:space="preserve">КАМАЗ-55111 (самосвал) </t>
  </si>
  <si>
    <t>КАМАЗ 54115-15 (Сед. Тягач)</t>
  </si>
  <si>
    <t xml:space="preserve">МАЗ 5337 (автокран г.п.16т) </t>
  </si>
  <si>
    <t>МАЗ-54329 (седельный тягач)</t>
  </si>
  <si>
    <t>МАЗ-64229 (седельный тягач, полуприцеп низкорамный)</t>
  </si>
  <si>
    <t>МАЗ-5334 (автокран СМК-10 г.п.10 т.)</t>
  </si>
  <si>
    <t xml:space="preserve">МАЗ 5337, КС3577/3 (автокран г.п.14т) </t>
  </si>
  <si>
    <t>Урал 4320 (многофункциональное (автоподъемник, кран-манипулятор, бурильно-крановая машина)</t>
  </si>
  <si>
    <t xml:space="preserve">УРАЛ 4320 (тягач лесовоз) </t>
  </si>
  <si>
    <t>Т-700А (трактор колесный, отвал)</t>
  </si>
  <si>
    <t xml:space="preserve">Т-150 К  (трактор колесный) </t>
  </si>
  <si>
    <t xml:space="preserve">Т-150К (трактор колесный) </t>
  </si>
  <si>
    <t>ЮМЗ (трактор, экскаватор ЭО-2621)</t>
  </si>
  <si>
    <t>МТЗ-80 (трактор, бурильная машина БМ-203)</t>
  </si>
  <si>
    <t xml:space="preserve">МТЗ-82 (трактор, бурильная машина БМ-203). </t>
  </si>
  <si>
    <t>МТЗ-80 (трактор, погрузчик СНУ-0,5)</t>
  </si>
  <si>
    <t>МТЗ 82 (трактор колесный с плугом)</t>
  </si>
  <si>
    <t xml:space="preserve">ГАЗ-33073 (телескопическая вышка ТВ-26 в.п. 26) </t>
  </si>
  <si>
    <t xml:space="preserve">ГАЗ-3308 (Автогидроподъемник АТП-14.0, в.п 14м.) </t>
  </si>
  <si>
    <t xml:space="preserve">ГАЗ-33081 (БКМ-317) бурильно-крановая машина) </t>
  </si>
  <si>
    <t>ЛИАЗ-677 (автобус 42 места)</t>
  </si>
  <si>
    <t>ПАЗ 37421 (автобус 29 мест)</t>
  </si>
  <si>
    <t>УАЗ 390994 грузопассажирский</t>
  </si>
  <si>
    <t>УАЗ 39099 грузопассажирский</t>
  </si>
  <si>
    <t>УАЗ 315148 (легковой)</t>
  </si>
  <si>
    <t>УАЗ 3303 (грузовой бортовой)</t>
  </si>
  <si>
    <t>УАЗ-390995 (бригадный грузопассажирский)</t>
  </si>
  <si>
    <t>ВАЗ-21213 (легковой)</t>
  </si>
  <si>
    <t>ВАЗ-213110 (легковой)</t>
  </si>
  <si>
    <t xml:space="preserve">ВАЗ 21074 (легковой) </t>
  </si>
  <si>
    <t>Шевроле-Нива (легковой)</t>
  </si>
  <si>
    <t>Нисан-патрол (легковой)</t>
  </si>
  <si>
    <t>KIA SPORTAGE (легковой)</t>
  </si>
  <si>
    <t xml:space="preserve">КАМАЗ-43118 (автоподъемник в.п. 28м.) </t>
  </si>
  <si>
    <t>Трактор КРТ 3 с мульчером  RAM 2200  61ОМ 7347</t>
  </si>
  <si>
    <t>Подъемник самоходный стреловой ПСС-141.29Э  на шасси КАМАЗ                       43118-50 У423ТН 161</t>
  </si>
  <si>
    <t>Оперативное обслуживание на абонентских линиях и ТП без учета затрат на машины и механизмы</t>
  </si>
  <si>
    <t>Выполнение работ по осмотру, измерению, обследованию объектов электросетевого хозяйства ПАО "Россети Юг", в целях предоставления информации пользователям о наличии (отсутстия) технологической возможности предоставления доступа к объекту инфраструктуры ПАО "Россети Юг"</t>
  </si>
  <si>
    <t>Подготовка информации в соответствии с запросом пользователя инфраструктуры</t>
  </si>
  <si>
    <t>Испытание токоограничивающих сухих реакторов напряжением до 220 кВ</t>
  </si>
  <si>
    <r>
      <t>Переустройство электросетевых объектов Общества по инициативе третьих лиц (пакетная услуга)</t>
    </r>
    <r>
      <rPr>
        <vertAlign val="superscript"/>
        <sz val="12"/>
        <rFont val="Times New Roman"/>
        <family val="1"/>
        <charset val="204"/>
      </rPr>
      <t>1</t>
    </r>
  </si>
  <si>
    <r>
      <t>Выполнение работ, отнесенных к компетенции заявителя, при осуществлении технологического присоединения («ТП под ключ», пакетная услуга)</t>
    </r>
    <r>
      <rPr>
        <vertAlign val="superscript"/>
        <sz val="12"/>
        <rFont val="Times New Roman"/>
        <family val="1"/>
        <charset val="204"/>
      </rPr>
      <t>1</t>
    </r>
  </si>
  <si>
    <r>
      <t>ТП под ключ в однофазном исполнении без учета стоимости технологического присоединения и материалов (пакет "Базовый")</t>
    </r>
    <r>
      <rPr>
        <vertAlign val="superscript"/>
        <sz val="12"/>
        <rFont val="Times New Roman"/>
        <family val="1"/>
        <charset val="204"/>
      </rPr>
      <t>1</t>
    </r>
  </si>
  <si>
    <r>
      <t>ТП под ключ в однофазном исполнении без учета стоимости технологического присоединения и материалов</t>
    </r>
    <r>
      <rPr>
        <vertAlign val="superscript"/>
        <sz val="12"/>
        <rFont val="Times New Roman"/>
        <family val="1"/>
        <charset val="204"/>
      </rPr>
      <t>1</t>
    </r>
    <r>
      <rPr>
        <sz val="12"/>
        <rFont val="Times New Roman"/>
        <family val="1"/>
        <charset val="204"/>
      </rPr>
      <t xml:space="preserve">
(пакет "Минимальный")</t>
    </r>
  </si>
  <si>
    <r>
      <t>ТП под ключ в трехфазном исполнении без учета стоимости технологического присоединения и материалов</t>
    </r>
    <r>
      <rPr>
        <vertAlign val="superscript"/>
        <sz val="12"/>
        <rFont val="Times New Roman"/>
        <family val="1"/>
        <charset val="204"/>
      </rPr>
      <t>1</t>
    </r>
    <r>
      <rPr>
        <sz val="12"/>
        <rFont val="Times New Roman"/>
        <family val="1"/>
        <charset val="204"/>
      </rPr>
      <t xml:space="preserve">
(пакет "Минимальный")</t>
    </r>
  </si>
  <si>
    <r>
      <t>ТП под ключ в трехфазном исполнении без учета стоимости технологического присоединения и материалов (пакет "Базовый")</t>
    </r>
    <r>
      <rPr>
        <vertAlign val="superscript"/>
        <sz val="12"/>
        <rFont val="Times New Roman"/>
        <family val="1"/>
        <charset val="204"/>
      </rPr>
      <t>1</t>
    </r>
  </si>
  <si>
    <r>
      <t>ТП под ключ в однофазном исполнении без учета стоимости технологического присоединения и материалов (пакет "Стандарт")</t>
    </r>
    <r>
      <rPr>
        <vertAlign val="superscript"/>
        <sz val="12"/>
        <rFont val="Times New Roman"/>
        <family val="1"/>
        <charset val="204"/>
      </rPr>
      <t>1</t>
    </r>
  </si>
  <si>
    <r>
      <t>ТП под ключ в трехфазном исполнении без учета стоимости технологического присоединения и материалов (пакет "Стандарт")</t>
    </r>
    <r>
      <rPr>
        <vertAlign val="superscript"/>
        <sz val="12"/>
        <rFont val="Times New Roman"/>
        <family val="1"/>
        <charset val="204"/>
      </rPr>
      <t>1</t>
    </r>
  </si>
  <si>
    <r>
      <t>ТП под ключ в однофазном исполнении без учета стоимости технологического присоединения и материалов (пакет "Премиум")</t>
    </r>
    <r>
      <rPr>
        <vertAlign val="superscript"/>
        <sz val="12"/>
        <rFont val="Times New Roman"/>
        <family val="1"/>
        <charset val="204"/>
      </rPr>
      <t>1</t>
    </r>
  </si>
  <si>
    <r>
      <t>ТП под ключ в трехфазном исполнении без учета стоимости технологического присоединения и материалов (пакет "Премиум")</t>
    </r>
    <r>
      <rPr>
        <vertAlign val="superscript"/>
        <sz val="12"/>
        <rFont val="Times New Roman"/>
        <family val="1"/>
        <charset val="204"/>
      </rPr>
      <t>1</t>
    </r>
  </si>
  <si>
    <r>
      <t>ТП под ключ в однофазном исполнении без учета стоимости технологического присоединения и материалов (пакет "Электроточка")</t>
    </r>
    <r>
      <rPr>
        <vertAlign val="superscript"/>
        <sz val="12"/>
        <rFont val="Times New Roman"/>
        <family val="1"/>
        <charset val="204"/>
      </rPr>
      <t>1</t>
    </r>
  </si>
  <si>
    <r>
      <t>ТП под ключ в трехфазном исполнении без учета стоимости технологического присоединения и материалов (пакет "Электроточка")</t>
    </r>
    <r>
      <rPr>
        <vertAlign val="superscript"/>
        <sz val="12"/>
        <rFont val="Times New Roman"/>
        <family val="1"/>
        <charset val="204"/>
      </rPr>
      <t>1</t>
    </r>
  </si>
  <si>
    <r>
      <t>Проведение работ по переустройству/перемещению ВЛ 0,4-10 кВ</t>
    </r>
    <r>
      <rPr>
        <vertAlign val="superscript"/>
        <sz val="12"/>
        <rFont val="Times New Roman"/>
        <family val="1"/>
        <charset val="204"/>
      </rPr>
      <t>5</t>
    </r>
  </si>
  <si>
    <r>
      <t>Проведение работ по переустройству/перемещению ВЛ 35-110 кВ</t>
    </r>
    <r>
      <rPr>
        <vertAlign val="superscript"/>
        <sz val="12"/>
        <rFont val="Times New Roman"/>
        <family val="1"/>
        <charset val="204"/>
      </rPr>
      <t>5</t>
    </r>
  </si>
  <si>
    <r>
      <t>Проведение работ по переустройству/перемещению КЛ 0,4-10 кВ</t>
    </r>
    <r>
      <rPr>
        <vertAlign val="superscript"/>
        <sz val="12"/>
        <rFont val="Times New Roman"/>
        <family val="1"/>
        <charset val="204"/>
      </rPr>
      <t>5</t>
    </r>
  </si>
  <si>
    <r>
      <t>Проведение работ по переустройству/перемещению КЛ 35-110 кВ</t>
    </r>
    <r>
      <rPr>
        <vertAlign val="superscript"/>
        <sz val="12"/>
        <rFont val="Times New Roman"/>
        <family val="1"/>
        <charset val="204"/>
      </rPr>
      <t>5</t>
    </r>
  </si>
  <si>
    <r>
      <t>Проведение работ по переустройству/перемещению кабельных линий связи</t>
    </r>
    <r>
      <rPr>
        <vertAlign val="superscript"/>
        <sz val="12"/>
        <rFont val="Times New Roman"/>
        <family val="1"/>
        <charset val="204"/>
      </rPr>
      <t>5</t>
    </r>
  </si>
  <si>
    <r>
      <t xml:space="preserve"> Строительство и эксплуатация ВОЛС на воздушных линиях электропередачи 0,4-10 кВ</t>
    </r>
    <r>
      <rPr>
        <vertAlign val="superscript"/>
        <sz val="12"/>
        <rFont val="Times New Roman"/>
        <family val="1"/>
        <charset val="204"/>
      </rPr>
      <t>5</t>
    </r>
  </si>
  <si>
    <r>
      <t>Строительство и эксплуатация ВОЛС на воздушных линиях электропередачи 35-110 кВ</t>
    </r>
    <r>
      <rPr>
        <vertAlign val="superscript"/>
        <sz val="12"/>
        <rFont val="Times New Roman"/>
        <family val="1"/>
        <charset val="204"/>
      </rPr>
      <t>5</t>
    </r>
  </si>
  <si>
    <r>
      <t>Строительство и эксплуатация ВОЛС на воздушных линиях электропередачи 0,4 -110 кВ</t>
    </r>
    <r>
      <rPr>
        <vertAlign val="superscript"/>
        <sz val="12"/>
        <rFont val="Times New Roman"/>
        <family val="1"/>
        <charset val="204"/>
      </rPr>
      <t>5</t>
    </r>
  </si>
  <si>
    <t>Определение плотности трансформаторного масла с учетом ЭТЛ</t>
  </si>
  <si>
    <t>ГАЗ-33081 (электролаборатория                             ЭТЛ-35)</t>
  </si>
  <si>
    <t>Предоставление информации пользователям инфраструктуры ПАО "Россети Юг"</t>
  </si>
  <si>
    <t>8.4.1.1.1</t>
  </si>
  <si>
    <t>8.4.1.1.2</t>
  </si>
  <si>
    <t>8.4.2.1.1</t>
  </si>
  <si>
    <t>8.4.2.2.2</t>
  </si>
  <si>
    <t>8.4.3.1.1</t>
  </si>
  <si>
    <t>8.4.3.2.1</t>
  </si>
  <si>
    <t>от "_____" _______ 2024 г. № _______</t>
  </si>
  <si>
    <r>
      <t xml:space="preserve">Услуги по предоставлению информации пользователям инфраструктуры </t>
    </r>
    <r>
      <rPr>
        <vertAlign val="superscript"/>
        <sz val="12"/>
        <rFont val="Times New Roman"/>
        <family val="1"/>
        <charset val="204"/>
      </rPr>
      <t>5</t>
    </r>
  </si>
  <si>
    <t>8.5</t>
  </si>
  <si>
    <t>8.6.</t>
  </si>
  <si>
    <t>Подготовка и выдача документов для формирования соглашения о компенсации при переустройстве ВЛ 0,4-10 кВ и линии связи в составе переустраиваемой ВЛ</t>
  </si>
  <si>
    <t>1 заявка
/1 объект
 /1 СКП</t>
  </si>
  <si>
    <t>8.5.1</t>
  </si>
  <si>
    <t>8.5.2</t>
  </si>
  <si>
    <t>8.5.3</t>
  </si>
  <si>
    <t>Подготовка и выдача документов для формирования соглашения о компенсации при переустройстве ВЛ 35-110 кВ и линии связи в составе переустраиваемой ВЛ</t>
  </si>
  <si>
    <t>8.5.4</t>
  </si>
  <si>
    <t>Подготовка и выдача документов для формирования соглашения о компенсации при переустройстве КЛ 0,4-10 кВ</t>
  </si>
  <si>
    <t xml:space="preserve"> Подготовка и выдача документов для формирования соглашения о компенсации при переустройстве КЛ 35-110 кВ</t>
  </si>
  <si>
    <r>
      <t xml:space="preserve">Подготовка и выдача документов для формирования соглашения о компенсации при переустройстве ВЛ, КЛ и линии связи в составе переустраиваемого объекта филиала </t>
    </r>
    <r>
      <rPr>
        <vertAlign val="superscript"/>
        <sz val="12"/>
        <rFont val="Times New Roman"/>
        <family val="1"/>
        <charset val="204"/>
      </rPr>
      <t>5</t>
    </r>
  </si>
  <si>
    <t>Цена с 01.07.2025, руб.</t>
  </si>
  <si>
    <t>Подготовка и выдача документов для формирования соглашения о компенсации при переустройстве ТП 6-10 кВ</t>
  </si>
  <si>
    <t>Подготовка и выдача документов для формирования соглашения о компенсации при переустройстве ПС 35-110 кВ</t>
  </si>
  <si>
    <t xml:space="preserve">Подготовка и выдача документов для формирования соглашения о компенсации при переустройстве линии связи </t>
  </si>
  <si>
    <t>8.5.5</t>
  </si>
  <si>
    <t>8.5.6</t>
  </si>
  <si>
    <t>8.5.7</t>
  </si>
  <si>
    <t>от "_____" _______ 2025 г. № 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</si>
</sst>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₽_-;\-* #,##0.00\ _₽_-;_-* &quot;-&quot;??\ _₽_-;_-@_-"/>
    <numFmt numFmtId="165" formatCode="_-* #,##0.00_р_._-;\-* #,##0.00_р_._-;_-* &quot;-&quot;??_р_._-;_-@_-"/>
  </numFmts>
  <fonts count="19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name val="Arial Cyr"/>
      <charset val="204"/>
    </font>
    <font>
      <sz val="10"/>
      <name val="Helv"/>
    </font>
    <font>
      <sz val="12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13"/>
      <color rgb="FFFF0000"/>
      <name val="Times New Roman"/>
      <family val="1"/>
      <charset val="204"/>
    </font>
    <font>
      <b/>
      <sz val="11"/>
      <name val="Times New Roman"/>
      <family val="1"/>
      <charset val="204"/>
    </font>
    <font>
      <sz val="1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3" fillId="0" borderId="0"/>
    <xf numFmtId="0" fontId="4" fillId="0" borderId="0"/>
    <xf numFmtId="0" fontId="3" fillId="0" borderId="0"/>
    <xf numFmtId="164" fontId="9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175">
    <xf numFmtId="0" fontId="0" fillId="0" borderId="0" xfId="0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6" fillId="0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164" fontId="1" fillId="2" borderId="1" xfId="4" applyFont="1" applyFill="1" applyBorder="1" applyAlignment="1">
      <alignment vertical="top" wrapText="1"/>
    </xf>
    <xf numFmtId="4" fontId="1" fillId="2" borderId="1" xfId="0" applyNumberFormat="1" applyFont="1" applyFill="1" applyBorder="1" applyAlignment="1">
      <alignment horizontal="center" vertical="top" wrapText="1"/>
    </xf>
    <xf numFmtId="4" fontId="1" fillId="0" borderId="1" xfId="0" applyNumberFormat="1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left" vertical="top" wrapText="1"/>
    </xf>
    <xf numFmtId="49" fontId="1" fillId="0" borderId="1" xfId="0" applyNumberFormat="1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vertical="top" wrapText="1"/>
    </xf>
    <xf numFmtId="4" fontId="1" fillId="2" borderId="1" xfId="0" applyNumberFormat="1" applyFont="1" applyFill="1" applyBorder="1" applyAlignment="1">
      <alignment vertical="top"/>
    </xf>
    <xf numFmtId="0" fontId="5" fillId="0" borderId="0" xfId="0" applyFont="1" applyFill="1" applyAlignment="1">
      <alignment vertical="top"/>
    </xf>
    <xf numFmtId="0" fontId="11" fillId="0" borderId="0" xfId="0" applyFont="1" applyFill="1" applyAlignment="1">
      <alignment vertical="top"/>
    </xf>
    <xf numFmtId="0" fontId="6" fillId="0" borderId="0" xfId="0" applyFont="1" applyFill="1"/>
    <xf numFmtId="0" fontId="1" fillId="0" borderId="0" xfId="0" applyFont="1" applyFill="1" applyAlignment="1">
      <alignment horizontal="right" vertical="top"/>
    </xf>
    <xf numFmtId="0" fontId="1" fillId="0" borderId="0" xfId="0" applyFont="1" applyFill="1" applyAlignment="1">
      <alignment vertical="top"/>
    </xf>
    <xf numFmtId="0" fontId="12" fillId="0" borderId="0" xfId="0" applyFont="1" applyFill="1" applyAlignment="1">
      <alignment vertical="top"/>
    </xf>
    <xf numFmtId="0" fontId="1" fillId="0" borderId="1" xfId="0" applyFont="1" applyFill="1" applyBorder="1" applyAlignment="1">
      <alignment vertical="top"/>
    </xf>
    <xf numFmtId="0" fontId="13" fillId="2" borderId="1" xfId="0" applyFont="1" applyFill="1" applyBorder="1" applyAlignment="1">
      <alignment horizontal="center" vertical="top"/>
    </xf>
    <xf numFmtId="0" fontId="12" fillId="2" borderId="0" xfId="0" applyFont="1" applyFill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13" fillId="0" borderId="1" xfId="0" applyFont="1" applyFill="1" applyBorder="1" applyAlignment="1">
      <alignment horizontal="center" vertical="top"/>
    </xf>
    <xf numFmtId="0" fontId="12" fillId="0" borderId="1" xfId="0" applyFont="1" applyFill="1" applyBorder="1" applyAlignment="1">
      <alignment vertical="top" shrinkToFit="1"/>
    </xf>
    <xf numFmtId="4" fontId="1" fillId="2" borderId="1" xfId="0" applyNumberFormat="1" applyFont="1" applyFill="1" applyBorder="1" applyAlignment="1">
      <alignment horizontal="center" vertical="top"/>
    </xf>
    <xf numFmtId="0" fontId="2" fillId="0" borderId="0" xfId="0" applyFont="1" applyFill="1" applyAlignment="1">
      <alignment vertical="top"/>
    </xf>
    <xf numFmtId="0" fontId="16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4" fontId="5" fillId="2" borderId="1" xfId="0" applyNumberFormat="1" applyFont="1" applyFill="1" applyBorder="1" applyAlignment="1">
      <alignment vertical="top" wrapText="1"/>
    </xf>
    <xf numFmtId="4" fontId="1" fillId="0" borderId="1" xfId="0" applyNumberFormat="1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4" fontId="5" fillId="2" borderId="1" xfId="0" applyNumberFormat="1" applyFont="1" applyFill="1" applyBorder="1" applyAlignment="1">
      <alignment horizontal="center" vertical="top" wrapText="1"/>
    </xf>
    <xf numFmtId="49" fontId="5" fillId="0" borderId="0" xfId="0" applyNumberFormat="1" applyFont="1" applyFill="1" applyBorder="1" applyAlignment="1">
      <alignment horizontal="center" vertical="top" wrapText="1"/>
    </xf>
    <xf numFmtId="1" fontId="5" fillId="0" borderId="0" xfId="0" applyNumberFormat="1" applyFont="1" applyFill="1" applyBorder="1" applyAlignment="1">
      <alignment horizontal="left" vertical="top" wrapText="1"/>
    </xf>
    <xf numFmtId="1" fontId="5" fillId="0" borderId="0" xfId="0" applyNumberFormat="1" applyFont="1" applyFill="1" applyBorder="1" applyAlignment="1">
      <alignment horizontal="center" vertical="top" wrapText="1"/>
    </xf>
    <xf numFmtId="4" fontId="5" fillId="0" borderId="0" xfId="0" applyNumberFormat="1" applyFont="1" applyFill="1" applyBorder="1" applyAlignment="1">
      <alignment horizontal="center" vertical="top"/>
    </xf>
    <xf numFmtId="2" fontId="6" fillId="0" borderId="0" xfId="0" applyNumberFormat="1" applyFont="1" applyFill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Fill="1" applyAlignment="1">
      <alignment horizontal="left" vertical="top"/>
    </xf>
    <xf numFmtId="0" fontId="1" fillId="0" borderId="0" xfId="0" applyFont="1" applyAlignment="1">
      <alignment vertical="top"/>
    </xf>
    <xf numFmtId="0" fontId="10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/>
    </xf>
    <xf numFmtId="0" fontId="10" fillId="0" borderId="0" xfId="0" applyFont="1" applyFill="1" applyAlignment="1">
      <alignment vertical="top"/>
    </xf>
    <xf numFmtId="0" fontId="12" fillId="0" borderId="0" xfId="0" applyFont="1" applyFill="1" applyAlignment="1">
      <alignment horizontal="right" vertical="top"/>
    </xf>
    <xf numFmtId="4" fontId="1" fillId="0" borderId="1" xfId="0" applyNumberFormat="1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justify" vertical="top" wrapText="1"/>
    </xf>
    <xf numFmtId="0" fontId="12" fillId="0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center" vertical="top" wrapText="1"/>
    </xf>
    <xf numFmtId="49" fontId="12" fillId="0" borderId="1" xfId="3" applyNumberFormat="1" applyFont="1" applyFill="1" applyBorder="1" applyAlignment="1">
      <alignment horizontal="center" vertical="top" wrapText="1"/>
    </xf>
    <xf numFmtId="0" fontId="12" fillId="0" borderId="1" xfId="3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top"/>
    </xf>
    <xf numFmtId="49" fontId="12" fillId="0" borderId="3" xfId="3" applyNumberFormat="1" applyFont="1" applyFill="1" applyBorder="1" applyAlignment="1">
      <alignment horizontal="left" vertical="top" wrapText="1"/>
    </xf>
    <xf numFmtId="49" fontId="1" fillId="0" borderId="1" xfId="0" applyNumberFormat="1" applyFont="1" applyFill="1" applyBorder="1" applyAlignment="1">
      <alignment horizontal="center" vertical="top"/>
    </xf>
    <xf numFmtId="49" fontId="12" fillId="0" borderId="1" xfId="3" applyNumberFormat="1" applyFont="1" applyFill="1" applyBorder="1" applyAlignment="1">
      <alignment horizontal="left" vertical="top" wrapText="1"/>
    </xf>
    <xf numFmtId="0" fontId="12" fillId="0" borderId="3" xfId="3" applyFont="1" applyFill="1" applyBorder="1" applyAlignment="1">
      <alignment vertical="top" wrapText="1"/>
    </xf>
    <xf numFmtId="16" fontId="1" fillId="2" borderId="1" xfId="0" applyNumberFormat="1" applyFont="1" applyFill="1" applyBorder="1" applyAlignment="1">
      <alignment horizontal="center" vertical="top" wrapText="1"/>
    </xf>
    <xf numFmtId="164" fontId="1" fillId="0" borderId="1" xfId="4" applyFont="1" applyFill="1" applyBorder="1" applyAlignment="1">
      <alignment vertical="top" wrapText="1"/>
    </xf>
    <xf numFmtId="0" fontId="1" fillId="2" borderId="4" xfId="3" applyFont="1" applyFill="1" applyBorder="1" applyAlignment="1">
      <alignment horizontal="left" vertical="top" wrapText="1"/>
    </xf>
    <xf numFmtId="164" fontId="1" fillId="2" borderId="1" xfId="4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164" fontId="1" fillId="2" borderId="4" xfId="4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1" fontId="1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shrinkToFit="1"/>
    </xf>
    <xf numFmtId="4" fontId="1" fillId="0" borderId="1" xfId="0" applyNumberFormat="1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17" fillId="0" borderId="1" xfId="0" applyFont="1" applyFill="1" applyBorder="1" applyAlignment="1">
      <alignment vertical="top"/>
    </xf>
    <xf numFmtId="0" fontId="12" fillId="0" borderId="1" xfId="0" applyFont="1" applyFill="1" applyBorder="1" applyAlignment="1">
      <alignment vertical="top" wrapText="1"/>
    </xf>
    <xf numFmtId="0" fontId="12" fillId="0" borderId="7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164" fontId="1" fillId="2" borderId="1" xfId="4" applyFont="1" applyFill="1" applyBorder="1" applyAlignment="1">
      <alignment horizontal="center" vertical="top" wrapText="1"/>
    </xf>
    <xf numFmtId="0" fontId="1" fillId="2" borderId="1" xfId="3" applyFont="1" applyFill="1" applyBorder="1" applyAlignment="1">
      <alignment horizontal="center" vertical="top" wrapText="1"/>
    </xf>
    <xf numFmtId="1" fontId="1" fillId="0" borderId="1" xfId="0" applyNumberFormat="1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164" fontId="6" fillId="2" borderId="0" xfId="0" applyNumberFormat="1" applyFont="1" applyFill="1" applyAlignment="1">
      <alignment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4" fontId="1" fillId="0" borderId="1" xfId="0" applyNumberFormat="1" applyFont="1" applyFill="1" applyBorder="1" applyAlignment="1">
      <alignment horizontal="left" vertical="top" wrapText="1"/>
    </xf>
    <xf numFmtId="164" fontId="1" fillId="0" borderId="2" xfId="4" applyFont="1" applyFill="1" applyBorder="1" applyAlignment="1">
      <alignment vertical="top" wrapText="1"/>
    </xf>
    <xf numFmtId="4" fontId="1" fillId="0" borderId="1" xfId="0" applyNumberFormat="1" applyFont="1" applyFill="1" applyBorder="1" applyAlignment="1">
      <alignment horizontal="center" vertical="top"/>
    </xf>
    <xf numFmtId="4" fontId="1" fillId="0" borderId="1" xfId="0" applyNumberFormat="1" applyFont="1" applyFill="1" applyBorder="1" applyAlignment="1">
      <alignment horizontal="justify" vertical="top" wrapText="1"/>
    </xf>
    <xf numFmtId="4" fontId="1" fillId="0" borderId="1" xfId="0" applyNumberFormat="1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/>
    </xf>
    <xf numFmtId="4" fontId="5" fillId="0" borderId="1" xfId="0" applyNumberFormat="1" applyFont="1" applyFill="1" applyBorder="1" applyAlignment="1">
      <alignment horizontal="center" vertical="top"/>
    </xf>
    <xf numFmtId="0" fontId="5" fillId="0" borderId="1" xfId="0" applyFont="1" applyFill="1" applyBorder="1" applyAlignment="1">
      <alignment vertical="top"/>
    </xf>
    <xf numFmtId="164" fontId="5" fillId="0" borderId="1" xfId="4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top" wrapText="1"/>
    </xf>
    <xf numFmtId="4" fontId="1" fillId="0" borderId="5" xfId="0" applyNumberFormat="1" applyFont="1" applyFill="1" applyBorder="1" applyAlignment="1">
      <alignment horizontal="justify" vertical="top" wrapText="1"/>
    </xf>
    <xf numFmtId="4" fontId="1" fillId="0" borderId="6" xfId="0" applyNumberFormat="1" applyFont="1" applyFill="1" applyBorder="1" applyAlignment="1">
      <alignment horizontal="justify" vertical="top" wrapText="1"/>
    </xf>
    <xf numFmtId="164" fontId="1" fillId="2" borderId="2" xfId="4" applyFont="1" applyFill="1" applyBorder="1" applyAlignment="1">
      <alignment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8" fillId="2" borderId="0" xfId="0" applyFont="1" applyFill="1" applyAlignment="1">
      <alignment vertical="top"/>
    </xf>
    <xf numFmtId="2" fontId="12" fillId="2" borderId="0" xfId="0" applyNumberFormat="1" applyFont="1" applyFill="1" applyAlignment="1">
      <alignment vertical="top"/>
    </xf>
    <xf numFmtId="0" fontId="12" fillId="0" borderId="0" xfId="0" applyFont="1" applyFill="1"/>
    <xf numFmtId="4" fontId="1" fillId="0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0" fillId="2" borderId="0" xfId="0" applyFont="1" applyFill="1" applyAlignment="1">
      <alignment horizontal="center" vertical="top"/>
    </xf>
    <xf numFmtId="2" fontId="12" fillId="0" borderId="1" xfId="0" applyNumberFormat="1" applyFont="1" applyFill="1" applyBorder="1" applyAlignment="1">
      <alignment horizontal="center" vertical="top"/>
    </xf>
    <xf numFmtId="164" fontId="12" fillId="2" borderId="0" xfId="0" applyNumberFormat="1" applyFont="1" applyFill="1" applyAlignment="1">
      <alignment vertical="top"/>
    </xf>
    <xf numFmtId="4" fontId="12" fillId="0" borderId="1" xfId="0" applyNumberFormat="1" applyFont="1" applyBorder="1" applyAlignment="1">
      <alignment horizontal="center" vertical="top"/>
    </xf>
    <xf numFmtId="0" fontId="12" fillId="2" borderId="0" xfId="0" applyFont="1" applyFill="1" applyAlignment="1">
      <alignment horizontal="center" vertical="top"/>
    </xf>
    <xf numFmtId="2" fontId="12" fillId="0" borderId="1" xfId="2" applyNumberFormat="1" applyFont="1" applyFill="1" applyBorder="1" applyAlignment="1">
      <alignment horizontal="center" vertical="top"/>
    </xf>
    <xf numFmtId="4" fontId="12" fillId="0" borderId="1" xfId="0" applyNumberFormat="1" applyFont="1" applyFill="1" applyBorder="1" applyAlignment="1">
      <alignment horizontal="center" vertical="top"/>
    </xf>
    <xf numFmtId="4" fontId="12" fillId="0" borderId="7" xfId="0" applyNumberFormat="1" applyFont="1" applyFill="1" applyBorder="1" applyAlignment="1">
      <alignment horizontal="center" vertical="top"/>
    </xf>
    <xf numFmtId="0" fontId="14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/>
    </xf>
    <xf numFmtId="4" fontId="1" fillId="2" borderId="0" xfId="0" applyNumberFormat="1" applyFont="1" applyFill="1" applyBorder="1" applyAlignment="1">
      <alignment vertical="top" wrapText="1"/>
    </xf>
    <xf numFmtId="4" fontId="1" fillId="2" borderId="0" xfId="0" applyNumberFormat="1" applyFont="1" applyFill="1" applyBorder="1" applyAlignment="1">
      <alignment horizontal="left" vertical="top" wrapText="1"/>
    </xf>
    <xf numFmtId="164" fontId="1" fillId="2" borderId="0" xfId="4" applyFont="1" applyFill="1" applyBorder="1" applyAlignment="1">
      <alignment vertical="top" wrapText="1"/>
    </xf>
    <xf numFmtId="4" fontId="5" fillId="2" borderId="0" xfId="0" applyNumberFormat="1" applyFont="1" applyFill="1" applyBorder="1" applyAlignment="1">
      <alignment vertical="top" wrapText="1"/>
    </xf>
    <xf numFmtId="4" fontId="1" fillId="0" borderId="0" xfId="0" applyNumberFormat="1" applyFont="1" applyFill="1" applyBorder="1" applyAlignment="1">
      <alignment horizontal="justify" vertical="top" wrapText="1"/>
    </xf>
    <xf numFmtId="164" fontId="1" fillId="0" borderId="0" xfId="4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Border="1" applyAlignment="1">
      <alignment horizontal="justify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top" wrapText="1"/>
    </xf>
    <xf numFmtId="49" fontId="1" fillId="0" borderId="0" xfId="0" applyNumberFormat="1" applyFont="1" applyFill="1" applyBorder="1" applyAlignment="1">
      <alignment horizontal="justify" vertical="top" wrapText="1"/>
    </xf>
    <xf numFmtId="49" fontId="1" fillId="0" borderId="7" xfId="0" applyNumberFormat="1" applyFont="1" applyFill="1" applyBorder="1" applyAlignment="1">
      <alignment horizontal="justify" vertical="top" wrapText="1"/>
    </xf>
    <xf numFmtId="4" fontId="5" fillId="0" borderId="4" xfId="0" applyNumberFormat="1" applyFont="1" applyFill="1" applyBorder="1" applyAlignment="1">
      <alignment horizontal="center" vertical="top" wrapText="1"/>
    </xf>
    <xf numFmtId="4" fontId="5" fillId="0" borderId="5" xfId="0" applyNumberFormat="1" applyFont="1" applyFill="1" applyBorder="1" applyAlignment="1">
      <alignment horizontal="center" vertical="top" wrapText="1"/>
    </xf>
    <xf numFmtId="4" fontId="5" fillId="0" borderId="6" xfId="0" applyNumberFormat="1" applyFont="1" applyFill="1" applyBorder="1" applyAlignment="1">
      <alignment horizontal="center" vertical="top" wrapText="1"/>
    </xf>
    <xf numFmtId="0" fontId="12" fillId="0" borderId="5" xfId="0" applyFont="1" applyFill="1" applyBorder="1" applyAlignment="1">
      <alignment horizontal="center" vertical="top"/>
    </xf>
    <xf numFmtId="0" fontId="12" fillId="0" borderId="6" xfId="0" applyFont="1" applyFill="1" applyBorder="1" applyAlignment="1">
      <alignment horizontal="center" vertical="top"/>
    </xf>
    <xf numFmtId="4" fontId="1" fillId="0" borderId="1" xfId="0" applyNumberFormat="1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14" fillId="0" borderId="1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164" fontId="1" fillId="2" borderId="4" xfId="4" applyFont="1" applyFill="1" applyBorder="1" applyAlignment="1">
      <alignment horizontal="center" vertical="top" wrapText="1"/>
    </xf>
    <xf numFmtId="164" fontId="1" fillId="2" borderId="5" xfId="4" applyFont="1" applyFill="1" applyBorder="1" applyAlignment="1">
      <alignment horizontal="center" vertical="top" wrapText="1"/>
    </xf>
    <xf numFmtId="164" fontId="1" fillId="2" borderId="6" xfId="4" applyFont="1" applyFill="1" applyBorder="1" applyAlignment="1">
      <alignment horizontal="center" vertical="top" wrapText="1"/>
    </xf>
    <xf numFmtId="164" fontId="5" fillId="2" borderId="4" xfId="4" applyFont="1" applyFill="1" applyBorder="1" applyAlignment="1">
      <alignment horizontal="center" vertical="top" wrapText="1"/>
    </xf>
    <xf numFmtId="164" fontId="5" fillId="2" borderId="5" xfId="4" applyFont="1" applyFill="1" applyBorder="1" applyAlignment="1">
      <alignment horizontal="center" vertical="top" wrapText="1"/>
    </xf>
    <xf numFmtId="164" fontId="5" fillId="2" borderId="6" xfId="4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164" fontId="5" fillId="2" borderId="1" xfId="4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3" fillId="0" borderId="4" xfId="0" applyFont="1" applyFill="1" applyBorder="1" applyAlignment="1">
      <alignment horizontal="center" vertical="top"/>
    </xf>
    <xf numFmtId="0" fontId="13" fillId="0" borderId="5" xfId="0" applyFont="1" applyFill="1" applyBorder="1" applyAlignment="1">
      <alignment horizontal="center" vertical="top"/>
    </xf>
    <xf numFmtId="0" fontId="13" fillId="0" borderId="6" xfId="0" applyFont="1" applyFill="1" applyBorder="1" applyAlignment="1">
      <alignment horizontal="center" vertical="top"/>
    </xf>
    <xf numFmtId="0" fontId="13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center" vertical="top"/>
    </xf>
    <xf numFmtId="0" fontId="1" fillId="0" borderId="7" xfId="0" applyFont="1" applyBorder="1" applyAlignment="1">
      <alignment horizontal="justify" vertical="top" wrapText="1"/>
    </xf>
    <xf numFmtId="4" fontId="1" fillId="0" borderId="4" xfId="0" applyNumberFormat="1" applyFont="1" applyFill="1" applyBorder="1" applyAlignment="1">
      <alignment horizontal="justify" vertical="top" wrapText="1"/>
    </xf>
    <xf numFmtId="4" fontId="1" fillId="0" borderId="5" xfId="0" applyNumberFormat="1" applyFont="1" applyFill="1" applyBorder="1" applyAlignment="1">
      <alignment horizontal="justify" vertical="top" wrapText="1"/>
    </xf>
    <xf numFmtId="4" fontId="1" fillId="0" borderId="6" xfId="0" applyNumberFormat="1" applyFont="1" applyFill="1" applyBorder="1" applyAlignment="1">
      <alignment horizontal="justify" vertical="top" wrapText="1"/>
    </xf>
    <xf numFmtId="4" fontId="1" fillId="2" borderId="4" xfId="0" applyNumberFormat="1" applyFont="1" applyFill="1" applyBorder="1" applyAlignment="1">
      <alignment horizontal="left" vertical="top" wrapText="1"/>
    </xf>
    <xf numFmtId="4" fontId="1" fillId="2" borderId="5" xfId="0" applyNumberFormat="1" applyFont="1" applyFill="1" applyBorder="1" applyAlignment="1">
      <alignment horizontal="left" vertical="top" wrapText="1"/>
    </xf>
    <xf numFmtId="4" fontId="1" fillId="2" borderId="6" xfId="0" applyNumberFormat="1" applyFont="1" applyFill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6">
    <cellStyle name="Обычный" xfId="0" builtinId="0"/>
    <cellStyle name="Обычный 2" xfId="1"/>
    <cellStyle name="Обычный 2 2" xfId="3"/>
    <cellStyle name="Стиль 1" xfId="2"/>
    <cellStyle name="Финансовый" xfId="4" builtinId="3"/>
    <cellStyle name="Финансовый 2 2" xf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43"/>
  <sheetViews>
    <sheetView tabSelected="1" view="pageBreakPreview" zoomScale="70" zoomScaleNormal="100" zoomScaleSheetLayoutView="70" workbookViewId="0">
      <selection activeCell="G1" sqref="G1:K1048576"/>
    </sheetView>
  </sheetViews>
  <sheetFormatPr defaultColWidth="9.140625" defaultRowHeight="15.75" x14ac:dyDescent="0.25"/>
  <cols>
    <col min="1" max="1" width="11.28515625" style="12" bestFit="1" customWidth="1"/>
    <col min="2" max="2" width="83.5703125" style="3" customWidth="1"/>
    <col min="3" max="3" width="17.140625" style="3" customWidth="1"/>
    <col min="4" max="4" width="13.28515625" style="17" customWidth="1"/>
    <col min="5" max="5" width="14.28515625" style="17" customWidth="1"/>
    <col min="6" max="6" width="17.140625" style="17" customWidth="1"/>
    <col min="7" max="7" width="14" style="17" customWidth="1"/>
    <col min="8" max="8" width="11.140625" style="3" bestFit="1" customWidth="1"/>
    <col min="9" max="10" width="9.140625" style="3"/>
    <col min="11" max="11" width="13" style="3" customWidth="1"/>
    <col min="12" max="16384" width="9.140625" style="3"/>
  </cols>
  <sheetData>
    <row r="1" spans="1:7" s="13" customFormat="1" ht="18.75" x14ac:dyDescent="0.25">
      <c r="A1" s="16"/>
      <c r="B1" s="43"/>
      <c r="C1" s="43"/>
      <c r="D1" s="44"/>
      <c r="E1" s="44"/>
      <c r="F1" s="15" t="s">
        <v>115</v>
      </c>
      <c r="G1" s="43"/>
    </row>
    <row r="2" spans="1:7" s="13" customFormat="1" ht="18.75" x14ac:dyDescent="0.25">
      <c r="A2" s="16"/>
      <c r="B2" s="43"/>
      <c r="C2" s="43"/>
      <c r="D2" s="44"/>
      <c r="E2" s="44"/>
      <c r="F2" s="15" t="s">
        <v>434</v>
      </c>
      <c r="G2" s="43"/>
    </row>
    <row r="3" spans="1:7" s="13" customFormat="1" ht="18.75" x14ac:dyDescent="0.25">
      <c r="A3" s="16"/>
      <c r="B3" s="43"/>
      <c r="C3" s="43"/>
      <c r="D3" s="44"/>
      <c r="E3" s="44"/>
      <c r="F3" s="15" t="s">
        <v>1062</v>
      </c>
      <c r="G3" s="43"/>
    </row>
    <row r="4" spans="1:7" s="13" customFormat="1" ht="18.75" x14ac:dyDescent="0.25">
      <c r="A4" s="16"/>
      <c r="B4" s="43"/>
      <c r="C4" s="43"/>
      <c r="D4" s="44"/>
      <c r="E4" s="44"/>
      <c r="F4" s="15"/>
      <c r="G4" s="43"/>
    </row>
    <row r="5" spans="1:7" s="13" customFormat="1" ht="18.75" x14ac:dyDescent="0.25">
      <c r="A5" s="16"/>
      <c r="B5" s="43"/>
      <c r="C5" s="43"/>
      <c r="D5" s="44"/>
      <c r="E5" s="44"/>
      <c r="F5" s="15" t="s">
        <v>32</v>
      </c>
      <c r="G5" s="43"/>
    </row>
    <row r="6" spans="1:7" s="13" customFormat="1" ht="18.75" x14ac:dyDescent="0.25">
      <c r="A6" s="16"/>
      <c r="B6" s="43"/>
      <c r="C6" s="43"/>
      <c r="D6" s="44"/>
      <c r="E6" s="44"/>
      <c r="F6" s="15" t="s">
        <v>435</v>
      </c>
      <c r="G6" s="43"/>
    </row>
    <row r="7" spans="1:7" s="13" customFormat="1" ht="18.75" x14ac:dyDescent="0.25">
      <c r="A7" s="16"/>
      <c r="B7" s="43"/>
      <c r="C7" s="43"/>
      <c r="D7" s="44"/>
      <c r="E7" s="44"/>
      <c r="F7" s="15" t="s">
        <v>1062</v>
      </c>
      <c r="G7" s="43"/>
    </row>
    <row r="8" spans="1:7" ht="20.25" customHeight="1" x14ac:dyDescent="0.25">
      <c r="A8" s="16"/>
      <c r="B8" s="17"/>
      <c r="C8" s="17"/>
    </row>
    <row r="9" spans="1:7" s="4" customFormat="1" ht="18.75" x14ac:dyDescent="0.25">
      <c r="A9" s="164" t="s">
        <v>288</v>
      </c>
      <c r="B9" s="164"/>
      <c r="C9" s="164"/>
      <c r="D9" s="164"/>
      <c r="E9" s="164"/>
      <c r="F9" s="164"/>
      <c r="G9" s="20"/>
    </row>
    <row r="10" spans="1:7" s="4" customFormat="1" ht="18.75" x14ac:dyDescent="0.25">
      <c r="A10" s="164" t="s">
        <v>436</v>
      </c>
      <c r="B10" s="164"/>
      <c r="C10" s="164"/>
      <c r="D10" s="164"/>
      <c r="E10" s="164"/>
      <c r="F10" s="164"/>
      <c r="G10" s="20"/>
    </row>
    <row r="11" spans="1:7" x14ac:dyDescent="0.25">
      <c r="A11" s="16"/>
      <c r="B11" s="17"/>
      <c r="C11" s="17"/>
    </row>
    <row r="12" spans="1:7" ht="20.25" customHeight="1" x14ac:dyDescent="0.25">
      <c r="A12" s="153" t="s">
        <v>61</v>
      </c>
      <c r="B12" s="158" t="s">
        <v>62</v>
      </c>
      <c r="C12" s="160" t="s">
        <v>2</v>
      </c>
      <c r="D12" s="158" t="s">
        <v>1055</v>
      </c>
      <c r="E12" s="158"/>
      <c r="F12" s="158"/>
    </row>
    <row r="13" spans="1:7" x14ac:dyDescent="0.25">
      <c r="A13" s="153"/>
      <c r="B13" s="159"/>
      <c r="C13" s="161"/>
      <c r="D13" s="89" t="s">
        <v>0</v>
      </c>
      <c r="E13" s="89" t="s">
        <v>9</v>
      </c>
      <c r="F13" s="89" t="s">
        <v>1</v>
      </c>
    </row>
    <row r="14" spans="1:7" ht="21.75" customHeight="1" x14ac:dyDescent="0.25">
      <c r="A14" s="18"/>
      <c r="B14" s="155" t="s">
        <v>63</v>
      </c>
      <c r="C14" s="156"/>
      <c r="D14" s="156"/>
      <c r="E14" s="156"/>
      <c r="F14" s="157"/>
    </row>
    <row r="15" spans="1:7" ht="21.75" customHeight="1" x14ac:dyDescent="0.25">
      <c r="A15" s="19" t="s">
        <v>64</v>
      </c>
      <c r="B15" s="162" t="s">
        <v>65</v>
      </c>
      <c r="C15" s="163"/>
      <c r="D15" s="163"/>
      <c r="E15" s="163"/>
      <c r="F15" s="163"/>
    </row>
    <row r="16" spans="1:7" ht="31.5" x14ac:dyDescent="0.25">
      <c r="A16" s="47" t="s">
        <v>41</v>
      </c>
      <c r="B16" s="48" t="s">
        <v>66</v>
      </c>
      <c r="C16" s="154" t="s">
        <v>295</v>
      </c>
      <c r="D16" s="154"/>
      <c r="E16" s="154"/>
      <c r="F16" s="154"/>
    </row>
    <row r="17" spans="1:12" ht="30.75" customHeight="1" x14ac:dyDescent="0.25">
      <c r="A17" s="47" t="s">
        <v>42</v>
      </c>
      <c r="B17" s="48" t="s">
        <v>67</v>
      </c>
      <c r="C17" s="154" t="s">
        <v>295</v>
      </c>
      <c r="D17" s="154"/>
      <c r="E17" s="154"/>
      <c r="F17" s="154"/>
    </row>
    <row r="18" spans="1:12" ht="33" customHeight="1" x14ac:dyDescent="0.25">
      <c r="A18" s="47" t="s">
        <v>10</v>
      </c>
      <c r="B18" s="48" t="s">
        <v>68</v>
      </c>
      <c r="C18" s="154" t="s">
        <v>295</v>
      </c>
      <c r="D18" s="154"/>
      <c r="E18" s="154"/>
      <c r="F18" s="154"/>
    </row>
    <row r="19" spans="1:12" ht="33.75" customHeight="1" x14ac:dyDescent="0.25">
      <c r="A19" s="47" t="s">
        <v>43</v>
      </c>
      <c r="B19" s="48" t="s">
        <v>69</v>
      </c>
      <c r="C19" s="154" t="s">
        <v>295</v>
      </c>
      <c r="D19" s="154"/>
      <c r="E19" s="154"/>
      <c r="F19" s="154"/>
    </row>
    <row r="20" spans="1:12" ht="36.75" customHeight="1" x14ac:dyDescent="0.25">
      <c r="A20" s="47" t="s">
        <v>44</v>
      </c>
      <c r="B20" s="48" t="s">
        <v>70</v>
      </c>
      <c r="C20" s="154"/>
      <c r="D20" s="154"/>
      <c r="E20" s="154"/>
      <c r="F20" s="154"/>
    </row>
    <row r="21" spans="1:12" ht="31.5" x14ac:dyDescent="0.25">
      <c r="A21" s="47" t="s">
        <v>71</v>
      </c>
      <c r="B21" s="48" t="s">
        <v>72</v>
      </c>
      <c r="C21" s="154"/>
      <c r="D21" s="154"/>
      <c r="E21" s="154"/>
      <c r="F21" s="154"/>
    </row>
    <row r="22" spans="1:12" ht="37.5" customHeight="1" x14ac:dyDescent="0.25">
      <c r="A22" s="47" t="s">
        <v>514</v>
      </c>
      <c r="B22" s="49" t="s">
        <v>513</v>
      </c>
      <c r="C22" s="124" t="s">
        <v>296</v>
      </c>
      <c r="D22" s="125"/>
      <c r="E22" s="125"/>
      <c r="F22" s="126"/>
    </row>
    <row r="23" spans="1:12" s="26" customFormat="1" ht="33.75" customHeight="1" x14ac:dyDescent="0.25">
      <c r="A23" s="47" t="s">
        <v>498</v>
      </c>
      <c r="B23" s="49" t="s">
        <v>499</v>
      </c>
      <c r="C23" s="124"/>
      <c r="D23" s="125"/>
      <c r="E23" s="125"/>
      <c r="F23" s="126"/>
      <c r="G23" s="101"/>
    </row>
    <row r="24" spans="1:12" s="26" customFormat="1" ht="35.25" customHeight="1" x14ac:dyDescent="0.25">
      <c r="A24" s="47" t="s">
        <v>500</v>
      </c>
      <c r="B24" s="50" t="s">
        <v>501</v>
      </c>
      <c r="C24" s="7" t="s">
        <v>502</v>
      </c>
      <c r="D24" s="107">
        <v>72.44</v>
      </c>
      <c r="E24" s="107">
        <f>ROUND(D24*0.2,2)</f>
        <v>14.49</v>
      </c>
      <c r="F24" s="107">
        <f>D24+E24</f>
        <v>86.929999999999993</v>
      </c>
      <c r="G24" s="102"/>
      <c r="H24" s="20"/>
      <c r="I24" s="20"/>
      <c r="J24" s="108"/>
      <c r="K24" s="79"/>
      <c r="L24" s="79"/>
    </row>
    <row r="25" spans="1:12" s="26" customFormat="1" ht="35.25" customHeight="1" x14ac:dyDescent="0.25">
      <c r="A25" s="47" t="s">
        <v>503</v>
      </c>
      <c r="B25" s="50" t="s">
        <v>504</v>
      </c>
      <c r="C25" s="7" t="s">
        <v>502</v>
      </c>
      <c r="D25" s="107">
        <v>90.43</v>
      </c>
      <c r="E25" s="107">
        <f t="shared" ref="E25:E27" si="0">ROUND(D25*0.2,2)</f>
        <v>18.09</v>
      </c>
      <c r="F25" s="107">
        <f t="shared" ref="F25:F27" si="1">D25+E25</f>
        <v>108.52000000000001</v>
      </c>
      <c r="G25" s="102"/>
      <c r="H25" s="20"/>
      <c r="I25" s="20"/>
      <c r="J25" s="108"/>
      <c r="K25" s="79"/>
      <c r="L25" s="79"/>
    </row>
    <row r="26" spans="1:12" s="26" customFormat="1" ht="35.25" customHeight="1" x14ac:dyDescent="0.25">
      <c r="A26" s="47" t="s">
        <v>505</v>
      </c>
      <c r="B26" s="50" t="s">
        <v>506</v>
      </c>
      <c r="C26" s="7" t="s">
        <v>502</v>
      </c>
      <c r="D26" s="107">
        <v>132.93</v>
      </c>
      <c r="E26" s="107">
        <f t="shared" si="0"/>
        <v>26.59</v>
      </c>
      <c r="F26" s="107">
        <f t="shared" si="1"/>
        <v>159.52000000000001</v>
      </c>
      <c r="G26" s="102"/>
      <c r="H26" s="20"/>
      <c r="I26" s="20"/>
      <c r="J26" s="108"/>
      <c r="K26" s="79"/>
      <c r="L26" s="79"/>
    </row>
    <row r="27" spans="1:12" s="26" customFormat="1" ht="35.25" customHeight="1" x14ac:dyDescent="0.25">
      <c r="A27" s="47" t="s">
        <v>507</v>
      </c>
      <c r="B27" s="50" t="s">
        <v>508</v>
      </c>
      <c r="C27" s="7" t="s">
        <v>502</v>
      </c>
      <c r="D27" s="107">
        <v>203.77</v>
      </c>
      <c r="E27" s="107">
        <f t="shared" si="0"/>
        <v>40.75</v>
      </c>
      <c r="F27" s="107">
        <f t="shared" si="1"/>
        <v>244.52</v>
      </c>
      <c r="G27" s="102"/>
      <c r="H27" s="20"/>
      <c r="I27" s="20"/>
      <c r="J27" s="108"/>
      <c r="K27" s="79"/>
      <c r="L27" s="79"/>
    </row>
    <row r="28" spans="1:12" s="26" customFormat="1" ht="36" customHeight="1" x14ac:dyDescent="0.25">
      <c r="A28" s="47" t="s">
        <v>509</v>
      </c>
      <c r="B28" s="49" t="s">
        <v>510</v>
      </c>
      <c r="C28" s="135"/>
      <c r="D28" s="136"/>
      <c r="E28" s="136"/>
      <c r="F28" s="137"/>
      <c r="G28" s="102"/>
      <c r="H28" s="20"/>
      <c r="I28" s="20"/>
      <c r="J28" s="108"/>
    </row>
    <row r="29" spans="1:12" s="26" customFormat="1" ht="35.25" customHeight="1" x14ac:dyDescent="0.25">
      <c r="A29" s="47" t="s">
        <v>511</v>
      </c>
      <c r="B29" s="50" t="s">
        <v>506</v>
      </c>
      <c r="C29" s="7" t="s">
        <v>502</v>
      </c>
      <c r="D29" s="107">
        <v>264.74</v>
      </c>
      <c r="E29" s="107">
        <f t="shared" ref="E29:E30" si="2">ROUND(D29*0.2,2)</f>
        <v>52.95</v>
      </c>
      <c r="F29" s="107">
        <f t="shared" ref="F29:F30" si="3">D29+E29</f>
        <v>317.69</v>
      </c>
      <c r="G29" s="102"/>
      <c r="H29" s="20"/>
      <c r="I29" s="20"/>
      <c r="J29" s="108"/>
      <c r="K29" s="79"/>
      <c r="L29" s="79"/>
    </row>
    <row r="30" spans="1:12" s="26" customFormat="1" ht="35.25" customHeight="1" x14ac:dyDescent="0.25">
      <c r="A30" s="47" t="s">
        <v>512</v>
      </c>
      <c r="B30" s="50" t="s">
        <v>508</v>
      </c>
      <c r="C30" s="7" t="s">
        <v>502</v>
      </c>
      <c r="D30" s="107">
        <v>401.48</v>
      </c>
      <c r="E30" s="107">
        <f t="shared" si="2"/>
        <v>80.3</v>
      </c>
      <c r="F30" s="107">
        <f t="shared" si="3"/>
        <v>481.78000000000003</v>
      </c>
      <c r="G30" s="102"/>
      <c r="H30" s="20"/>
      <c r="I30" s="20"/>
      <c r="J30" s="108"/>
      <c r="K30" s="79"/>
      <c r="L30" s="79"/>
    </row>
    <row r="31" spans="1:12" ht="33" customHeight="1" x14ac:dyDescent="0.25">
      <c r="A31" s="47" t="s">
        <v>73</v>
      </c>
      <c r="B31" s="48" t="s">
        <v>74</v>
      </c>
      <c r="C31" s="154" t="s">
        <v>296</v>
      </c>
      <c r="D31" s="154"/>
      <c r="E31" s="154"/>
      <c r="F31" s="154"/>
      <c r="G31" s="102"/>
      <c r="H31" s="4"/>
      <c r="I31" s="4"/>
      <c r="J31" s="79"/>
    </row>
    <row r="32" spans="1:12" ht="48" customHeight="1" x14ac:dyDescent="0.25">
      <c r="A32" s="47" t="s">
        <v>75</v>
      </c>
      <c r="B32" s="48" t="s">
        <v>76</v>
      </c>
      <c r="C32" s="154" t="s">
        <v>297</v>
      </c>
      <c r="D32" s="154"/>
      <c r="E32" s="154"/>
      <c r="F32" s="154"/>
      <c r="G32" s="102"/>
      <c r="H32" s="4"/>
      <c r="I32" s="4"/>
      <c r="J32" s="79"/>
    </row>
    <row r="33" spans="1:12" ht="49.5" customHeight="1" x14ac:dyDescent="0.25">
      <c r="A33" s="47" t="s">
        <v>45</v>
      </c>
      <c r="B33" s="48" t="s">
        <v>77</v>
      </c>
      <c r="C33" s="154" t="s">
        <v>298</v>
      </c>
      <c r="D33" s="154"/>
      <c r="E33" s="154"/>
      <c r="F33" s="154"/>
      <c r="G33" s="102"/>
      <c r="H33" s="4"/>
      <c r="I33" s="4"/>
      <c r="J33" s="79"/>
    </row>
    <row r="34" spans="1:12" ht="33.75" customHeight="1" x14ac:dyDescent="0.25">
      <c r="A34" s="47" t="s">
        <v>46</v>
      </c>
      <c r="B34" s="48" t="s">
        <v>78</v>
      </c>
      <c r="C34" s="154" t="s">
        <v>295</v>
      </c>
      <c r="D34" s="154"/>
      <c r="E34" s="154"/>
      <c r="F34" s="154"/>
      <c r="G34" s="102"/>
      <c r="H34" s="4"/>
      <c r="I34" s="4"/>
      <c r="J34" s="79"/>
    </row>
    <row r="35" spans="1:12" ht="18.75" x14ac:dyDescent="0.25">
      <c r="A35" s="19" t="s">
        <v>86</v>
      </c>
      <c r="B35" s="162" t="s">
        <v>79</v>
      </c>
      <c r="C35" s="163"/>
      <c r="D35" s="163"/>
      <c r="E35" s="163"/>
      <c r="F35" s="163"/>
      <c r="G35" s="102"/>
      <c r="H35" s="4"/>
      <c r="I35" s="4"/>
      <c r="J35" s="79"/>
    </row>
    <row r="36" spans="1:12" x14ac:dyDescent="0.25">
      <c r="A36" s="47" t="s">
        <v>3</v>
      </c>
      <c r="B36" s="48" t="s">
        <v>80</v>
      </c>
      <c r="C36" s="146"/>
      <c r="D36" s="147"/>
      <c r="E36" s="147"/>
      <c r="F36" s="148"/>
      <c r="G36" s="102"/>
      <c r="H36" s="4"/>
      <c r="I36" s="4"/>
      <c r="J36" s="79"/>
    </row>
    <row r="37" spans="1:12" s="4" customFormat="1" ht="31.5" x14ac:dyDescent="0.25">
      <c r="A37" s="51" t="s">
        <v>294</v>
      </c>
      <c r="B37" s="8" t="s">
        <v>1008</v>
      </c>
      <c r="C37" s="74" t="s">
        <v>433</v>
      </c>
      <c r="D37" s="24">
        <v>973.28</v>
      </c>
      <c r="E37" s="5">
        <f>ROUND(D37*0.2,2)</f>
        <v>194.66</v>
      </c>
      <c r="F37" s="5">
        <f>D37+E37</f>
        <v>1167.94</v>
      </c>
      <c r="G37" s="102"/>
      <c r="H37" s="102"/>
      <c r="I37" s="20"/>
      <c r="J37" s="108"/>
      <c r="K37" s="79"/>
      <c r="L37" s="79"/>
    </row>
    <row r="38" spans="1:12" s="4" customFormat="1" ht="31.5" x14ac:dyDescent="0.25">
      <c r="A38" s="51" t="s">
        <v>407</v>
      </c>
      <c r="B38" s="45" t="s">
        <v>406</v>
      </c>
      <c r="C38" s="146" t="s">
        <v>299</v>
      </c>
      <c r="D38" s="147"/>
      <c r="E38" s="147"/>
      <c r="F38" s="148"/>
      <c r="G38" s="102"/>
      <c r="J38" s="79"/>
    </row>
    <row r="39" spans="1:12" ht="36.75" customHeight="1" x14ac:dyDescent="0.25">
      <c r="A39" s="47" t="s">
        <v>4</v>
      </c>
      <c r="B39" s="48" t="s">
        <v>81</v>
      </c>
      <c r="C39" s="146" t="s">
        <v>299</v>
      </c>
      <c r="D39" s="147"/>
      <c r="E39" s="147"/>
      <c r="F39" s="148"/>
      <c r="G39" s="102"/>
      <c r="H39" s="4"/>
      <c r="I39" s="4"/>
      <c r="J39" s="79"/>
    </row>
    <row r="40" spans="1:12" ht="35.25" customHeight="1" x14ac:dyDescent="0.25">
      <c r="A40" s="47" t="s">
        <v>5</v>
      </c>
      <c r="B40" s="48" t="s">
        <v>82</v>
      </c>
      <c r="C40" s="146" t="s">
        <v>299</v>
      </c>
      <c r="D40" s="147"/>
      <c r="E40" s="147"/>
      <c r="F40" s="148"/>
      <c r="G40" s="102"/>
      <c r="H40" s="4"/>
      <c r="I40" s="4"/>
      <c r="J40" s="79"/>
    </row>
    <row r="41" spans="1:12" ht="33.75" customHeight="1" x14ac:dyDescent="0.25">
      <c r="A41" s="47" t="s">
        <v>12</v>
      </c>
      <c r="B41" s="48" t="s">
        <v>83</v>
      </c>
      <c r="C41" s="146" t="s">
        <v>299</v>
      </c>
      <c r="D41" s="147"/>
      <c r="E41" s="147"/>
      <c r="F41" s="148"/>
      <c r="G41" s="102"/>
      <c r="H41" s="4"/>
      <c r="I41" s="4"/>
      <c r="J41" s="79"/>
    </row>
    <row r="42" spans="1:12" ht="22.5" customHeight="1" x14ac:dyDescent="0.25">
      <c r="A42" s="47" t="s">
        <v>13</v>
      </c>
      <c r="B42" s="48" t="s">
        <v>814</v>
      </c>
      <c r="C42" s="150"/>
      <c r="D42" s="151"/>
      <c r="E42" s="151"/>
      <c r="F42" s="152"/>
      <c r="G42" s="102"/>
      <c r="H42" s="4"/>
      <c r="I42" s="4"/>
      <c r="J42" s="79"/>
    </row>
    <row r="43" spans="1:12" s="4" customFormat="1" x14ac:dyDescent="0.25">
      <c r="A43" s="52" t="s">
        <v>516</v>
      </c>
      <c r="B43" s="53" t="s">
        <v>653</v>
      </c>
      <c r="C43" s="32"/>
      <c r="D43" s="24"/>
      <c r="E43" s="90"/>
      <c r="F43" s="5"/>
      <c r="G43" s="102"/>
      <c r="J43" s="79"/>
    </row>
    <row r="44" spans="1:12" s="4" customFormat="1" ht="31.5" x14ac:dyDescent="0.25">
      <c r="A44" s="52" t="s">
        <v>517</v>
      </c>
      <c r="B44" s="53" t="s">
        <v>654</v>
      </c>
      <c r="C44" s="6" t="s">
        <v>655</v>
      </c>
      <c r="D44" s="84">
        <v>58011.13</v>
      </c>
      <c r="E44" s="107">
        <f t="shared" ref="E44:E46" si="4">ROUND(D44*0.2,2)</f>
        <v>11602.23</v>
      </c>
      <c r="F44" s="107">
        <f t="shared" ref="F44:F46" si="5">D44+E44</f>
        <v>69613.36</v>
      </c>
      <c r="G44" s="102"/>
      <c r="H44" s="20"/>
      <c r="I44" s="20"/>
      <c r="J44" s="108"/>
      <c r="K44" s="79"/>
      <c r="L44" s="79"/>
    </row>
    <row r="45" spans="1:12" s="4" customFormat="1" ht="31.5" x14ac:dyDescent="0.25">
      <c r="A45" s="52" t="s">
        <v>518</v>
      </c>
      <c r="B45" s="53" t="s">
        <v>656</v>
      </c>
      <c r="C45" s="6" t="s">
        <v>655</v>
      </c>
      <c r="D45" s="84">
        <v>29972.43</v>
      </c>
      <c r="E45" s="107">
        <f t="shared" si="4"/>
        <v>5994.49</v>
      </c>
      <c r="F45" s="107">
        <f t="shared" si="5"/>
        <v>35966.92</v>
      </c>
      <c r="G45" s="102"/>
      <c r="H45" s="20"/>
      <c r="I45" s="20"/>
      <c r="J45" s="108"/>
      <c r="K45" s="79"/>
      <c r="L45" s="79"/>
    </row>
    <row r="46" spans="1:12" s="4" customFormat="1" ht="31.5" x14ac:dyDescent="0.25">
      <c r="A46" s="52" t="s">
        <v>519</v>
      </c>
      <c r="B46" s="53" t="s">
        <v>657</v>
      </c>
      <c r="C46" s="6" t="s">
        <v>655</v>
      </c>
      <c r="D46" s="84">
        <v>4350.83</v>
      </c>
      <c r="E46" s="107">
        <f t="shared" si="4"/>
        <v>870.17</v>
      </c>
      <c r="F46" s="107">
        <f t="shared" si="5"/>
        <v>5221</v>
      </c>
      <c r="G46" s="102"/>
      <c r="H46" s="20"/>
      <c r="I46" s="20"/>
      <c r="J46" s="108"/>
      <c r="K46" s="79"/>
      <c r="L46" s="79"/>
    </row>
    <row r="47" spans="1:12" s="4" customFormat="1" x14ac:dyDescent="0.25">
      <c r="A47" s="52" t="s">
        <v>520</v>
      </c>
      <c r="B47" s="53" t="s">
        <v>658</v>
      </c>
      <c r="C47" s="6"/>
      <c r="D47" s="84"/>
      <c r="E47" s="18"/>
      <c r="F47" s="60"/>
      <c r="G47" s="102"/>
      <c r="H47" s="20"/>
      <c r="I47" s="20"/>
      <c r="J47" s="108"/>
      <c r="K47" s="79"/>
      <c r="L47" s="79"/>
    </row>
    <row r="48" spans="1:12" s="4" customFormat="1" ht="31.5" x14ac:dyDescent="0.25">
      <c r="A48" s="52" t="s">
        <v>521</v>
      </c>
      <c r="B48" s="53" t="s">
        <v>654</v>
      </c>
      <c r="C48" s="6" t="s">
        <v>655</v>
      </c>
      <c r="D48" s="84">
        <v>70096.800000000003</v>
      </c>
      <c r="E48" s="107">
        <f t="shared" ref="E48:E50" si="6">ROUND(D48*0.2,2)</f>
        <v>14019.36</v>
      </c>
      <c r="F48" s="107">
        <f t="shared" ref="F48:F50" si="7">D48+E48</f>
        <v>84116.160000000003</v>
      </c>
      <c r="G48" s="102"/>
      <c r="H48" s="20"/>
      <c r="I48" s="20"/>
      <c r="J48" s="108"/>
      <c r="K48" s="79"/>
      <c r="L48" s="79"/>
    </row>
    <row r="49" spans="1:12" s="4" customFormat="1" ht="31.5" x14ac:dyDescent="0.25">
      <c r="A49" s="52" t="s">
        <v>522</v>
      </c>
      <c r="B49" s="53" t="s">
        <v>656</v>
      </c>
      <c r="C49" s="6" t="s">
        <v>655</v>
      </c>
      <c r="D49" s="84">
        <v>37223.800000000003</v>
      </c>
      <c r="E49" s="107">
        <f t="shared" si="6"/>
        <v>7444.76</v>
      </c>
      <c r="F49" s="107">
        <f t="shared" si="7"/>
        <v>44668.560000000005</v>
      </c>
      <c r="G49" s="102"/>
      <c r="H49" s="20"/>
      <c r="I49" s="20"/>
      <c r="J49" s="108"/>
      <c r="K49" s="79"/>
      <c r="L49" s="79"/>
    </row>
    <row r="50" spans="1:12" s="4" customFormat="1" ht="31.5" x14ac:dyDescent="0.25">
      <c r="A50" s="52" t="s">
        <v>523</v>
      </c>
      <c r="B50" s="53" t="s">
        <v>657</v>
      </c>
      <c r="C50" s="6" t="s">
        <v>655</v>
      </c>
      <c r="D50" s="84">
        <v>5559.38</v>
      </c>
      <c r="E50" s="107">
        <f t="shared" si="6"/>
        <v>1111.8800000000001</v>
      </c>
      <c r="F50" s="107">
        <f t="shared" si="7"/>
        <v>6671.26</v>
      </c>
      <c r="G50" s="102"/>
      <c r="H50" s="20"/>
      <c r="I50" s="20"/>
      <c r="J50" s="108"/>
      <c r="K50" s="79"/>
      <c r="L50" s="79"/>
    </row>
    <row r="51" spans="1:12" s="4" customFormat="1" x14ac:dyDescent="0.25">
      <c r="A51" s="52" t="s">
        <v>524</v>
      </c>
      <c r="B51" s="53" t="s">
        <v>659</v>
      </c>
      <c r="C51" s="6"/>
      <c r="D51" s="84"/>
      <c r="E51" s="18"/>
      <c r="F51" s="60"/>
      <c r="G51" s="102"/>
      <c r="H51" s="20"/>
      <c r="I51" s="20"/>
      <c r="J51" s="108"/>
      <c r="K51" s="79"/>
      <c r="L51" s="79"/>
    </row>
    <row r="52" spans="1:12" s="4" customFormat="1" ht="31.5" x14ac:dyDescent="0.25">
      <c r="A52" s="52" t="s">
        <v>525</v>
      </c>
      <c r="B52" s="53" t="s">
        <v>654</v>
      </c>
      <c r="C52" s="6" t="s">
        <v>655</v>
      </c>
      <c r="D52" s="84">
        <v>86049.83</v>
      </c>
      <c r="E52" s="107">
        <f t="shared" ref="E52:E54" si="8">ROUND(D52*0.2,2)</f>
        <v>17209.97</v>
      </c>
      <c r="F52" s="107">
        <f t="shared" ref="F52:F54" si="9">D52+E52</f>
        <v>103259.8</v>
      </c>
      <c r="G52" s="102"/>
      <c r="H52" s="20"/>
      <c r="I52" s="20"/>
      <c r="J52" s="108"/>
      <c r="K52" s="79"/>
      <c r="L52" s="79"/>
    </row>
    <row r="53" spans="1:12" s="4" customFormat="1" ht="31.5" x14ac:dyDescent="0.25">
      <c r="A53" s="52" t="s">
        <v>526</v>
      </c>
      <c r="B53" s="53" t="s">
        <v>656</v>
      </c>
      <c r="C53" s="6" t="s">
        <v>655</v>
      </c>
      <c r="D53" s="84">
        <v>48826.03</v>
      </c>
      <c r="E53" s="107">
        <f t="shared" si="8"/>
        <v>9765.2099999999991</v>
      </c>
      <c r="F53" s="107">
        <f t="shared" si="9"/>
        <v>58591.24</v>
      </c>
      <c r="G53" s="102"/>
      <c r="H53" s="20"/>
      <c r="I53" s="20"/>
      <c r="J53" s="108"/>
      <c r="K53" s="79"/>
      <c r="L53" s="79"/>
    </row>
    <row r="54" spans="1:12" s="4" customFormat="1" ht="31.5" x14ac:dyDescent="0.25">
      <c r="A54" s="52" t="s">
        <v>527</v>
      </c>
      <c r="B54" s="53" t="s">
        <v>657</v>
      </c>
      <c r="C54" s="6" t="s">
        <v>655</v>
      </c>
      <c r="D54" s="84">
        <v>7251.41</v>
      </c>
      <c r="E54" s="107">
        <f t="shared" si="8"/>
        <v>1450.28</v>
      </c>
      <c r="F54" s="107">
        <f t="shared" si="9"/>
        <v>8701.69</v>
      </c>
      <c r="G54" s="102"/>
      <c r="H54" s="20"/>
      <c r="I54" s="20"/>
      <c r="J54" s="108"/>
      <c r="K54" s="79"/>
      <c r="L54" s="79"/>
    </row>
    <row r="55" spans="1:12" s="4" customFormat="1" x14ac:dyDescent="0.25">
      <c r="A55" s="52" t="s">
        <v>528</v>
      </c>
      <c r="B55" s="53" t="s">
        <v>660</v>
      </c>
      <c r="C55" s="6"/>
      <c r="D55" s="84"/>
      <c r="E55" s="18"/>
      <c r="F55" s="60"/>
      <c r="G55" s="102"/>
      <c r="H55" s="20"/>
      <c r="I55" s="20"/>
      <c r="J55" s="108"/>
      <c r="K55" s="79"/>
      <c r="L55" s="79"/>
    </row>
    <row r="56" spans="1:12" s="4" customFormat="1" ht="31.5" x14ac:dyDescent="0.25">
      <c r="A56" s="52" t="s">
        <v>529</v>
      </c>
      <c r="B56" s="53" t="s">
        <v>654</v>
      </c>
      <c r="C56" s="6" t="s">
        <v>655</v>
      </c>
      <c r="D56" s="84">
        <v>83632.72</v>
      </c>
      <c r="E56" s="107">
        <f t="shared" ref="E56:E58" si="10">ROUND(D56*0.2,2)</f>
        <v>16726.54</v>
      </c>
      <c r="F56" s="107">
        <f t="shared" ref="F56:F58" si="11">D56+E56</f>
        <v>100359.26000000001</v>
      </c>
      <c r="G56" s="102"/>
      <c r="H56" s="20"/>
      <c r="I56" s="20"/>
      <c r="J56" s="108"/>
      <c r="K56" s="79"/>
      <c r="L56" s="79"/>
    </row>
    <row r="57" spans="1:12" s="4" customFormat="1" ht="31.5" x14ac:dyDescent="0.25">
      <c r="A57" s="52" t="s">
        <v>530</v>
      </c>
      <c r="B57" s="53" t="s">
        <v>656</v>
      </c>
      <c r="C57" s="6" t="s">
        <v>655</v>
      </c>
      <c r="D57" s="84">
        <v>53418.58</v>
      </c>
      <c r="E57" s="107">
        <f t="shared" si="10"/>
        <v>10683.72</v>
      </c>
      <c r="F57" s="107">
        <f t="shared" si="11"/>
        <v>64102.3</v>
      </c>
      <c r="G57" s="102"/>
      <c r="H57" s="20"/>
      <c r="I57" s="20"/>
      <c r="J57" s="108"/>
      <c r="K57" s="79"/>
      <c r="L57" s="79"/>
    </row>
    <row r="58" spans="1:12" s="4" customFormat="1" ht="31.5" x14ac:dyDescent="0.25">
      <c r="A58" s="52" t="s">
        <v>531</v>
      </c>
      <c r="B58" s="53" t="s">
        <v>657</v>
      </c>
      <c r="C58" s="6" t="s">
        <v>655</v>
      </c>
      <c r="D58" s="84">
        <v>6574.6</v>
      </c>
      <c r="E58" s="107">
        <f t="shared" si="10"/>
        <v>1314.92</v>
      </c>
      <c r="F58" s="107">
        <f t="shared" si="11"/>
        <v>7889.52</v>
      </c>
      <c r="G58" s="102"/>
      <c r="H58" s="20"/>
      <c r="I58" s="20"/>
      <c r="J58" s="108"/>
      <c r="K58" s="79"/>
      <c r="L58" s="79"/>
    </row>
    <row r="59" spans="1:12" s="4" customFormat="1" x14ac:dyDescent="0.25">
      <c r="A59" s="52" t="s">
        <v>532</v>
      </c>
      <c r="B59" s="53" t="s">
        <v>661</v>
      </c>
      <c r="C59" s="6"/>
      <c r="D59" s="84"/>
      <c r="E59" s="18"/>
      <c r="F59" s="60"/>
      <c r="G59" s="102"/>
      <c r="H59" s="20"/>
      <c r="I59" s="20"/>
      <c r="J59" s="108"/>
      <c r="K59" s="79"/>
      <c r="L59" s="79"/>
    </row>
    <row r="60" spans="1:12" s="4" customFormat="1" ht="31.5" x14ac:dyDescent="0.25">
      <c r="A60" s="52" t="s">
        <v>533</v>
      </c>
      <c r="B60" s="53" t="s">
        <v>654</v>
      </c>
      <c r="C60" s="6" t="s">
        <v>655</v>
      </c>
      <c r="D60" s="84">
        <v>83632.72</v>
      </c>
      <c r="E60" s="107">
        <f t="shared" ref="E60:E62" si="12">ROUND(D60*0.2,2)</f>
        <v>16726.54</v>
      </c>
      <c r="F60" s="107">
        <f t="shared" ref="F60:F62" si="13">D60+E60</f>
        <v>100359.26000000001</v>
      </c>
      <c r="G60" s="102"/>
      <c r="H60" s="20"/>
      <c r="I60" s="20"/>
      <c r="J60" s="108"/>
      <c r="K60" s="79"/>
      <c r="L60" s="79"/>
    </row>
    <row r="61" spans="1:12" s="4" customFormat="1" ht="31.5" x14ac:dyDescent="0.25">
      <c r="A61" s="52" t="s">
        <v>534</v>
      </c>
      <c r="B61" s="53" t="s">
        <v>656</v>
      </c>
      <c r="C61" s="6" t="s">
        <v>655</v>
      </c>
      <c r="D61" s="84">
        <v>58494.559999999998</v>
      </c>
      <c r="E61" s="107">
        <f t="shared" si="12"/>
        <v>11698.91</v>
      </c>
      <c r="F61" s="107">
        <f t="shared" si="13"/>
        <v>70193.47</v>
      </c>
      <c r="G61" s="102"/>
      <c r="H61" s="20"/>
      <c r="I61" s="20"/>
      <c r="J61" s="108"/>
      <c r="K61" s="79"/>
      <c r="L61" s="79"/>
    </row>
    <row r="62" spans="1:12" s="4" customFormat="1" ht="31.5" x14ac:dyDescent="0.25">
      <c r="A62" s="52" t="s">
        <v>535</v>
      </c>
      <c r="B62" s="53" t="s">
        <v>657</v>
      </c>
      <c r="C62" s="6" t="s">
        <v>655</v>
      </c>
      <c r="D62" s="84">
        <v>6526.25</v>
      </c>
      <c r="E62" s="107">
        <f t="shared" si="12"/>
        <v>1305.25</v>
      </c>
      <c r="F62" s="107">
        <f t="shared" si="13"/>
        <v>7831.5</v>
      </c>
      <c r="G62" s="102"/>
      <c r="H62" s="20"/>
      <c r="I62" s="20"/>
      <c r="J62" s="108"/>
      <c r="K62" s="79"/>
      <c r="L62" s="79"/>
    </row>
    <row r="63" spans="1:12" s="4" customFormat="1" x14ac:dyDescent="0.25">
      <c r="A63" s="52" t="s">
        <v>536</v>
      </c>
      <c r="B63" s="53" t="s">
        <v>662</v>
      </c>
      <c r="C63" s="6"/>
      <c r="D63" s="84"/>
      <c r="E63" s="18"/>
      <c r="F63" s="60"/>
      <c r="G63" s="102"/>
      <c r="H63" s="20"/>
      <c r="I63" s="20"/>
      <c r="J63" s="108"/>
      <c r="K63" s="79"/>
      <c r="L63" s="79"/>
    </row>
    <row r="64" spans="1:12" s="4" customFormat="1" ht="31.5" x14ac:dyDescent="0.25">
      <c r="A64" s="52" t="s">
        <v>537</v>
      </c>
      <c r="B64" s="53" t="s">
        <v>654</v>
      </c>
      <c r="C64" s="6" t="s">
        <v>655</v>
      </c>
      <c r="D64" s="84">
        <v>4350.83</v>
      </c>
      <c r="E64" s="107">
        <f t="shared" ref="E64:E70" si="14">ROUND(D64*0.2,2)</f>
        <v>870.17</v>
      </c>
      <c r="F64" s="107">
        <f t="shared" ref="F64:F70" si="15">D64+E64</f>
        <v>5221</v>
      </c>
      <c r="G64" s="102"/>
      <c r="H64" s="20"/>
      <c r="I64" s="20"/>
      <c r="J64" s="108"/>
      <c r="K64" s="79"/>
      <c r="L64" s="79"/>
    </row>
    <row r="65" spans="1:12" s="4" customFormat="1" ht="31.5" x14ac:dyDescent="0.25">
      <c r="A65" s="52" t="s">
        <v>538</v>
      </c>
      <c r="B65" s="53" t="s">
        <v>656</v>
      </c>
      <c r="C65" s="6" t="s">
        <v>655</v>
      </c>
      <c r="D65" s="84">
        <v>1740.34</v>
      </c>
      <c r="E65" s="107">
        <f t="shared" si="14"/>
        <v>348.07</v>
      </c>
      <c r="F65" s="107">
        <f t="shared" si="15"/>
        <v>2088.41</v>
      </c>
      <c r="G65" s="102"/>
      <c r="H65" s="20"/>
      <c r="I65" s="20"/>
      <c r="J65" s="108"/>
      <c r="K65" s="79"/>
      <c r="L65" s="79"/>
    </row>
    <row r="66" spans="1:12" s="4" customFormat="1" ht="31.5" x14ac:dyDescent="0.25">
      <c r="A66" s="52" t="s">
        <v>539</v>
      </c>
      <c r="B66" s="53" t="s">
        <v>663</v>
      </c>
      <c r="C66" s="6" t="s">
        <v>655</v>
      </c>
      <c r="D66" s="84">
        <v>870.16</v>
      </c>
      <c r="E66" s="107">
        <f t="shared" si="14"/>
        <v>174.03</v>
      </c>
      <c r="F66" s="107">
        <f t="shared" si="15"/>
        <v>1044.19</v>
      </c>
      <c r="G66" s="102"/>
      <c r="H66" s="20"/>
      <c r="I66" s="20"/>
      <c r="J66" s="108"/>
      <c r="K66" s="79"/>
      <c r="L66" s="79"/>
    </row>
    <row r="67" spans="1:12" s="4" customFormat="1" ht="31.5" x14ac:dyDescent="0.25">
      <c r="A67" s="52" t="s">
        <v>540</v>
      </c>
      <c r="B67" s="53" t="s">
        <v>664</v>
      </c>
      <c r="C67" s="6" t="s">
        <v>655</v>
      </c>
      <c r="D67" s="84">
        <v>870.16</v>
      </c>
      <c r="E67" s="107">
        <f t="shared" si="14"/>
        <v>174.03</v>
      </c>
      <c r="F67" s="107">
        <f t="shared" si="15"/>
        <v>1044.19</v>
      </c>
      <c r="G67" s="102"/>
      <c r="H67" s="20"/>
      <c r="I67" s="20"/>
      <c r="J67" s="108"/>
      <c r="K67" s="79"/>
      <c r="L67" s="79"/>
    </row>
    <row r="68" spans="1:12" s="4" customFormat="1" ht="31.5" x14ac:dyDescent="0.25">
      <c r="A68" s="52" t="s">
        <v>541</v>
      </c>
      <c r="B68" s="53" t="s">
        <v>665</v>
      </c>
      <c r="C68" s="6" t="s">
        <v>655</v>
      </c>
      <c r="D68" s="84">
        <v>1740.34</v>
      </c>
      <c r="E68" s="107">
        <f t="shared" si="14"/>
        <v>348.07</v>
      </c>
      <c r="F68" s="107">
        <f t="shared" si="15"/>
        <v>2088.41</v>
      </c>
      <c r="G68" s="102"/>
      <c r="H68" s="20"/>
      <c r="I68" s="20"/>
      <c r="J68" s="108"/>
      <c r="K68" s="79"/>
      <c r="L68" s="79"/>
    </row>
    <row r="69" spans="1:12" s="4" customFormat="1" ht="31.5" x14ac:dyDescent="0.25">
      <c r="A69" s="52" t="s">
        <v>542</v>
      </c>
      <c r="B69" s="53" t="s">
        <v>666</v>
      </c>
      <c r="C69" s="6" t="s">
        <v>655</v>
      </c>
      <c r="D69" s="84">
        <v>1740.34</v>
      </c>
      <c r="E69" s="107">
        <f t="shared" si="14"/>
        <v>348.07</v>
      </c>
      <c r="F69" s="107">
        <f t="shared" si="15"/>
        <v>2088.41</v>
      </c>
      <c r="G69" s="102"/>
      <c r="H69" s="20"/>
      <c r="I69" s="20"/>
      <c r="J69" s="108"/>
      <c r="K69" s="79"/>
      <c r="L69" s="79"/>
    </row>
    <row r="70" spans="1:12" s="4" customFormat="1" ht="31.5" x14ac:dyDescent="0.25">
      <c r="A70" s="52" t="s">
        <v>543</v>
      </c>
      <c r="B70" s="53" t="s">
        <v>667</v>
      </c>
      <c r="C70" s="6" t="s">
        <v>655</v>
      </c>
      <c r="D70" s="84">
        <v>870.16</v>
      </c>
      <c r="E70" s="107">
        <f t="shared" si="14"/>
        <v>174.03</v>
      </c>
      <c r="F70" s="107">
        <f t="shared" si="15"/>
        <v>1044.19</v>
      </c>
      <c r="G70" s="102"/>
      <c r="H70" s="20"/>
      <c r="I70" s="20"/>
      <c r="J70" s="108"/>
      <c r="K70" s="79"/>
      <c r="L70" s="79"/>
    </row>
    <row r="71" spans="1:12" s="4" customFormat="1" x14ac:dyDescent="0.25">
      <c r="A71" s="52" t="s">
        <v>544</v>
      </c>
      <c r="B71" s="53" t="s">
        <v>668</v>
      </c>
      <c r="C71" s="6"/>
      <c r="D71" s="84"/>
      <c r="E71" s="18"/>
      <c r="F71" s="60"/>
      <c r="G71" s="102"/>
      <c r="H71" s="20"/>
      <c r="I71" s="20"/>
      <c r="J71" s="108"/>
      <c r="K71" s="79"/>
      <c r="L71" s="79"/>
    </row>
    <row r="72" spans="1:12" s="4" customFormat="1" ht="31.5" x14ac:dyDescent="0.25">
      <c r="A72" s="52" t="s">
        <v>545</v>
      </c>
      <c r="B72" s="53" t="s">
        <v>654</v>
      </c>
      <c r="C72" s="6" t="s">
        <v>655</v>
      </c>
      <c r="D72" s="84">
        <v>7831.5</v>
      </c>
      <c r="E72" s="107">
        <f t="shared" ref="E72:E78" si="16">ROUND(D72*0.2,2)</f>
        <v>1566.3</v>
      </c>
      <c r="F72" s="107">
        <f t="shared" ref="F72:F78" si="17">D72+E72</f>
        <v>9397.7999999999993</v>
      </c>
      <c r="G72" s="102"/>
      <c r="H72" s="20"/>
      <c r="I72" s="20"/>
      <c r="J72" s="108"/>
      <c r="K72" s="79"/>
      <c r="L72" s="79"/>
    </row>
    <row r="73" spans="1:12" s="4" customFormat="1" ht="31.5" x14ac:dyDescent="0.25">
      <c r="A73" s="52" t="s">
        <v>546</v>
      </c>
      <c r="B73" s="53" t="s">
        <v>656</v>
      </c>
      <c r="C73" s="6" t="s">
        <v>655</v>
      </c>
      <c r="D73" s="84">
        <v>2320.44</v>
      </c>
      <c r="E73" s="107">
        <f t="shared" si="16"/>
        <v>464.09</v>
      </c>
      <c r="F73" s="107">
        <f t="shared" si="17"/>
        <v>2784.53</v>
      </c>
      <c r="G73" s="102"/>
      <c r="H73" s="20"/>
      <c r="I73" s="20"/>
      <c r="J73" s="108"/>
      <c r="K73" s="79"/>
      <c r="L73" s="79"/>
    </row>
    <row r="74" spans="1:12" s="4" customFormat="1" ht="31.5" x14ac:dyDescent="0.25">
      <c r="A74" s="52" t="s">
        <v>547</v>
      </c>
      <c r="B74" s="53" t="s">
        <v>663</v>
      </c>
      <c r="C74" s="6" t="s">
        <v>655</v>
      </c>
      <c r="D74" s="84">
        <v>1160.23</v>
      </c>
      <c r="E74" s="107">
        <f t="shared" si="16"/>
        <v>232.05</v>
      </c>
      <c r="F74" s="107">
        <f t="shared" si="17"/>
        <v>1392.28</v>
      </c>
      <c r="G74" s="102"/>
      <c r="H74" s="20"/>
      <c r="I74" s="20"/>
      <c r="J74" s="108"/>
      <c r="K74" s="79"/>
      <c r="L74" s="79"/>
    </row>
    <row r="75" spans="1:12" s="4" customFormat="1" ht="31.5" x14ac:dyDescent="0.25">
      <c r="A75" s="52" t="s">
        <v>548</v>
      </c>
      <c r="B75" s="53" t="s">
        <v>669</v>
      </c>
      <c r="C75" s="6" t="s">
        <v>655</v>
      </c>
      <c r="D75" s="84">
        <v>1160.23</v>
      </c>
      <c r="E75" s="107">
        <f t="shared" si="16"/>
        <v>232.05</v>
      </c>
      <c r="F75" s="107">
        <f t="shared" si="17"/>
        <v>1392.28</v>
      </c>
      <c r="G75" s="102"/>
      <c r="H75" s="20"/>
      <c r="I75" s="20"/>
      <c r="J75" s="108"/>
      <c r="K75" s="79"/>
      <c r="L75" s="79"/>
    </row>
    <row r="76" spans="1:12" s="4" customFormat="1" ht="31.5" x14ac:dyDescent="0.25">
      <c r="A76" s="52" t="s">
        <v>549</v>
      </c>
      <c r="B76" s="53" t="s">
        <v>670</v>
      </c>
      <c r="C76" s="6" t="s">
        <v>655</v>
      </c>
      <c r="D76" s="84">
        <v>2320.44</v>
      </c>
      <c r="E76" s="107">
        <f t="shared" si="16"/>
        <v>464.09</v>
      </c>
      <c r="F76" s="107">
        <f t="shared" si="17"/>
        <v>2784.53</v>
      </c>
      <c r="G76" s="102"/>
      <c r="H76" s="20"/>
      <c r="I76" s="20"/>
      <c r="J76" s="108"/>
      <c r="K76" s="79"/>
      <c r="L76" s="79"/>
    </row>
    <row r="77" spans="1:12" s="4" customFormat="1" ht="31.5" x14ac:dyDescent="0.25">
      <c r="A77" s="52" t="s">
        <v>550</v>
      </c>
      <c r="B77" s="53" t="s">
        <v>671</v>
      </c>
      <c r="C77" s="6" t="s">
        <v>655</v>
      </c>
      <c r="D77" s="84">
        <v>2088.35</v>
      </c>
      <c r="E77" s="107">
        <f t="shared" si="16"/>
        <v>417.67</v>
      </c>
      <c r="F77" s="107">
        <f t="shared" si="17"/>
        <v>2506.02</v>
      </c>
      <c r="G77" s="102"/>
      <c r="H77" s="20"/>
      <c r="I77" s="20"/>
      <c r="J77" s="108"/>
      <c r="K77" s="79"/>
      <c r="L77" s="79"/>
    </row>
    <row r="78" spans="1:12" s="4" customFormat="1" ht="31.5" x14ac:dyDescent="0.25">
      <c r="A78" s="52" t="s">
        <v>551</v>
      </c>
      <c r="B78" s="53" t="s">
        <v>667</v>
      </c>
      <c r="C78" s="6" t="s">
        <v>655</v>
      </c>
      <c r="D78" s="84">
        <v>1189.21</v>
      </c>
      <c r="E78" s="107">
        <f t="shared" si="16"/>
        <v>237.84</v>
      </c>
      <c r="F78" s="107">
        <f t="shared" si="17"/>
        <v>1427.05</v>
      </c>
      <c r="G78" s="102"/>
      <c r="H78" s="20"/>
      <c r="I78" s="20"/>
      <c r="J78" s="108"/>
      <c r="K78" s="79"/>
      <c r="L78" s="79"/>
    </row>
    <row r="79" spans="1:12" s="4" customFormat="1" x14ac:dyDescent="0.25">
      <c r="A79" s="52" t="s">
        <v>552</v>
      </c>
      <c r="B79" s="53" t="s">
        <v>672</v>
      </c>
      <c r="C79" s="6"/>
      <c r="D79" s="84"/>
      <c r="E79" s="18"/>
      <c r="F79" s="60"/>
      <c r="G79" s="102"/>
      <c r="H79" s="20"/>
      <c r="I79" s="20"/>
      <c r="J79" s="108"/>
      <c r="K79" s="79"/>
      <c r="L79" s="79"/>
    </row>
    <row r="80" spans="1:12" s="4" customFormat="1" ht="31.5" x14ac:dyDescent="0.25">
      <c r="A80" s="52" t="s">
        <v>553</v>
      </c>
      <c r="B80" s="53" t="s">
        <v>654</v>
      </c>
      <c r="C80" s="6" t="s">
        <v>655</v>
      </c>
      <c r="D80" s="84">
        <v>4870.76</v>
      </c>
      <c r="E80" s="107">
        <f t="shared" ref="E80:E83" si="18">ROUND(D80*0.2,2)</f>
        <v>974.15</v>
      </c>
      <c r="F80" s="107">
        <f t="shared" ref="F80:F83" si="19">D80+E80</f>
        <v>5844.91</v>
      </c>
      <c r="G80" s="102"/>
      <c r="H80" s="20"/>
      <c r="I80" s="20"/>
      <c r="J80" s="108"/>
      <c r="K80" s="79"/>
      <c r="L80" s="79"/>
    </row>
    <row r="81" spans="1:12" s="4" customFormat="1" ht="31.5" x14ac:dyDescent="0.25">
      <c r="A81" s="52" t="s">
        <v>554</v>
      </c>
      <c r="B81" s="53" t="s">
        <v>673</v>
      </c>
      <c r="C81" s="6" t="s">
        <v>655</v>
      </c>
      <c r="D81" s="84">
        <v>1533.58</v>
      </c>
      <c r="E81" s="107">
        <f t="shared" si="18"/>
        <v>306.72000000000003</v>
      </c>
      <c r="F81" s="107">
        <f t="shared" si="19"/>
        <v>1840.3</v>
      </c>
      <c r="G81" s="102"/>
      <c r="H81" s="20"/>
      <c r="I81" s="20"/>
      <c r="J81" s="108"/>
      <c r="K81" s="79"/>
      <c r="L81" s="79"/>
    </row>
    <row r="82" spans="1:12" s="4" customFormat="1" ht="31.5" x14ac:dyDescent="0.25">
      <c r="A82" s="52" t="s">
        <v>555</v>
      </c>
      <c r="B82" s="53" t="s">
        <v>674</v>
      </c>
      <c r="C82" s="6" t="s">
        <v>655</v>
      </c>
      <c r="D82" s="84">
        <v>1533.58</v>
      </c>
      <c r="E82" s="107">
        <f t="shared" si="18"/>
        <v>306.72000000000003</v>
      </c>
      <c r="F82" s="107">
        <f t="shared" si="19"/>
        <v>1840.3</v>
      </c>
      <c r="G82" s="102"/>
      <c r="H82" s="20"/>
      <c r="I82" s="20"/>
      <c r="J82" s="108"/>
      <c r="K82" s="79"/>
      <c r="L82" s="79"/>
    </row>
    <row r="83" spans="1:12" s="4" customFormat="1" ht="31.5" x14ac:dyDescent="0.25">
      <c r="A83" s="52" t="s">
        <v>556</v>
      </c>
      <c r="B83" s="53" t="s">
        <v>667</v>
      </c>
      <c r="C83" s="6" t="s">
        <v>655</v>
      </c>
      <c r="D83" s="84">
        <v>1832.56</v>
      </c>
      <c r="E83" s="107">
        <f t="shared" si="18"/>
        <v>366.51</v>
      </c>
      <c r="F83" s="107">
        <f t="shared" si="19"/>
        <v>2199.0699999999997</v>
      </c>
      <c r="G83" s="102"/>
      <c r="H83" s="20"/>
      <c r="I83" s="20"/>
      <c r="J83" s="108"/>
      <c r="K83" s="79"/>
      <c r="L83" s="79"/>
    </row>
    <row r="84" spans="1:12" s="4" customFormat="1" x14ac:dyDescent="0.25">
      <c r="A84" s="52" t="s">
        <v>557</v>
      </c>
      <c r="B84" s="53" t="s">
        <v>675</v>
      </c>
      <c r="C84" s="6"/>
      <c r="D84" s="84"/>
      <c r="E84" s="18"/>
      <c r="F84" s="60"/>
      <c r="G84" s="102"/>
      <c r="H84" s="20"/>
      <c r="I84" s="20"/>
      <c r="J84" s="108"/>
      <c r="K84" s="79"/>
      <c r="L84" s="79"/>
    </row>
    <row r="85" spans="1:12" s="4" customFormat="1" ht="31.5" x14ac:dyDescent="0.25">
      <c r="A85" s="52" t="s">
        <v>558</v>
      </c>
      <c r="B85" s="53" t="s">
        <v>654</v>
      </c>
      <c r="C85" s="6" t="s">
        <v>655</v>
      </c>
      <c r="D85" s="84">
        <v>5801.12</v>
      </c>
      <c r="E85" s="107">
        <f t="shared" ref="E85:E86" si="20">ROUND(D85*0.2,2)</f>
        <v>1160.22</v>
      </c>
      <c r="F85" s="107">
        <f t="shared" ref="F85:F86" si="21">D85+E85</f>
        <v>6961.34</v>
      </c>
      <c r="G85" s="102"/>
      <c r="H85" s="20"/>
      <c r="I85" s="20"/>
      <c r="J85" s="108"/>
      <c r="K85" s="79"/>
      <c r="L85" s="79"/>
    </row>
    <row r="86" spans="1:12" s="4" customFormat="1" ht="31.5" x14ac:dyDescent="0.25">
      <c r="A86" s="52" t="s">
        <v>559</v>
      </c>
      <c r="B86" s="53" t="s">
        <v>656</v>
      </c>
      <c r="C86" s="6" t="s">
        <v>655</v>
      </c>
      <c r="D86" s="84">
        <v>3625.69</v>
      </c>
      <c r="E86" s="107">
        <f t="shared" si="20"/>
        <v>725.14</v>
      </c>
      <c r="F86" s="107">
        <f t="shared" si="21"/>
        <v>4350.83</v>
      </c>
      <c r="G86" s="102"/>
      <c r="H86" s="20"/>
      <c r="I86" s="20"/>
      <c r="J86" s="108"/>
      <c r="K86" s="79"/>
      <c r="L86" s="79"/>
    </row>
    <row r="87" spans="1:12" s="4" customFormat="1" x14ac:dyDescent="0.25">
      <c r="A87" s="52" t="s">
        <v>560</v>
      </c>
      <c r="B87" s="53" t="s">
        <v>676</v>
      </c>
      <c r="C87" s="6"/>
      <c r="D87" s="84"/>
      <c r="E87" s="18"/>
      <c r="F87" s="60"/>
      <c r="G87" s="102"/>
      <c r="H87" s="20"/>
      <c r="I87" s="20"/>
      <c r="J87" s="108"/>
      <c r="K87" s="79"/>
      <c r="L87" s="79"/>
    </row>
    <row r="88" spans="1:12" s="4" customFormat="1" ht="31.5" x14ac:dyDescent="0.25">
      <c r="A88" s="52" t="s">
        <v>561</v>
      </c>
      <c r="B88" s="53" t="s">
        <v>654</v>
      </c>
      <c r="C88" s="6" t="s">
        <v>655</v>
      </c>
      <c r="D88" s="84">
        <v>7493.11</v>
      </c>
      <c r="E88" s="107">
        <f t="shared" ref="E88:E89" si="22">ROUND(D88*0.2,2)</f>
        <v>1498.62</v>
      </c>
      <c r="F88" s="107">
        <f t="shared" ref="F88:F89" si="23">D88+E88</f>
        <v>8991.73</v>
      </c>
      <c r="G88" s="102"/>
      <c r="H88" s="20"/>
      <c r="I88" s="20"/>
      <c r="J88" s="108"/>
      <c r="K88" s="79"/>
      <c r="L88" s="79"/>
    </row>
    <row r="89" spans="1:12" s="4" customFormat="1" ht="31.5" x14ac:dyDescent="0.25">
      <c r="A89" s="52" t="s">
        <v>562</v>
      </c>
      <c r="B89" s="53" t="s">
        <v>656</v>
      </c>
      <c r="C89" s="6" t="s">
        <v>655</v>
      </c>
      <c r="D89" s="84">
        <v>4592.55</v>
      </c>
      <c r="E89" s="107">
        <f t="shared" si="22"/>
        <v>918.51</v>
      </c>
      <c r="F89" s="107">
        <f t="shared" si="23"/>
        <v>5511.06</v>
      </c>
      <c r="G89" s="102"/>
      <c r="H89" s="20"/>
      <c r="I89" s="20"/>
      <c r="J89" s="108"/>
      <c r="K89" s="79"/>
      <c r="L89" s="79"/>
    </row>
    <row r="90" spans="1:12" s="4" customFormat="1" x14ac:dyDescent="0.25">
      <c r="A90" s="52" t="s">
        <v>563</v>
      </c>
      <c r="B90" s="53" t="s">
        <v>677</v>
      </c>
      <c r="C90" s="6"/>
      <c r="D90" s="84"/>
      <c r="E90" s="18"/>
      <c r="F90" s="60"/>
      <c r="G90" s="102"/>
      <c r="H90" s="20"/>
      <c r="I90" s="20"/>
      <c r="J90" s="108"/>
      <c r="K90" s="79"/>
      <c r="L90" s="79"/>
    </row>
    <row r="91" spans="1:12" s="4" customFormat="1" ht="31.5" x14ac:dyDescent="0.25">
      <c r="A91" s="52" t="s">
        <v>564</v>
      </c>
      <c r="B91" s="53" t="s">
        <v>654</v>
      </c>
      <c r="C91" s="6" t="s">
        <v>655</v>
      </c>
      <c r="D91" s="84">
        <v>7493.11</v>
      </c>
      <c r="E91" s="107">
        <f t="shared" ref="E91:E92" si="24">ROUND(D91*0.2,2)</f>
        <v>1498.62</v>
      </c>
      <c r="F91" s="107">
        <f t="shared" ref="F91:F92" si="25">D91+E91</f>
        <v>8991.73</v>
      </c>
      <c r="G91" s="102"/>
      <c r="H91" s="20"/>
      <c r="I91" s="20"/>
      <c r="J91" s="108"/>
      <c r="K91" s="79"/>
      <c r="L91" s="79"/>
    </row>
    <row r="92" spans="1:12" s="4" customFormat="1" ht="31.5" x14ac:dyDescent="0.25">
      <c r="A92" s="52" t="s">
        <v>565</v>
      </c>
      <c r="B92" s="53" t="s">
        <v>656</v>
      </c>
      <c r="C92" s="6" t="s">
        <v>655</v>
      </c>
      <c r="D92" s="84">
        <v>6767.96</v>
      </c>
      <c r="E92" s="107">
        <f t="shared" si="24"/>
        <v>1353.59</v>
      </c>
      <c r="F92" s="107">
        <f t="shared" si="25"/>
        <v>8121.55</v>
      </c>
      <c r="G92" s="102"/>
      <c r="H92" s="20"/>
      <c r="I92" s="20"/>
      <c r="J92" s="108"/>
      <c r="K92" s="79"/>
      <c r="L92" s="79"/>
    </row>
    <row r="93" spans="1:12" s="4" customFormat="1" x14ac:dyDescent="0.25">
      <c r="A93" s="52" t="s">
        <v>566</v>
      </c>
      <c r="B93" s="53" t="s">
        <v>678</v>
      </c>
      <c r="C93" s="6"/>
      <c r="D93" s="84"/>
      <c r="E93" s="18"/>
      <c r="F93" s="60"/>
      <c r="G93" s="102"/>
      <c r="H93" s="20"/>
      <c r="I93" s="20"/>
      <c r="J93" s="108"/>
      <c r="K93" s="79"/>
      <c r="L93" s="79"/>
    </row>
    <row r="94" spans="1:12" s="4" customFormat="1" ht="31.5" x14ac:dyDescent="0.25">
      <c r="A94" s="52" t="s">
        <v>567</v>
      </c>
      <c r="B94" s="53" t="s">
        <v>654</v>
      </c>
      <c r="C94" s="6" t="s">
        <v>679</v>
      </c>
      <c r="D94" s="84">
        <v>11843.93</v>
      </c>
      <c r="E94" s="107">
        <f t="shared" ref="E94:E95" si="26">ROUND(D94*0.2,2)</f>
        <v>2368.79</v>
      </c>
      <c r="F94" s="107">
        <f t="shared" ref="F94:F95" si="27">D94+E94</f>
        <v>14212.720000000001</v>
      </c>
      <c r="G94" s="102"/>
      <c r="H94" s="20"/>
      <c r="I94" s="20"/>
      <c r="J94" s="108"/>
      <c r="K94" s="79"/>
      <c r="L94" s="79"/>
    </row>
    <row r="95" spans="1:12" s="4" customFormat="1" ht="31.5" x14ac:dyDescent="0.25">
      <c r="A95" s="52" t="s">
        <v>568</v>
      </c>
      <c r="B95" s="53" t="s">
        <v>656</v>
      </c>
      <c r="C95" s="6" t="s">
        <v>679</v>
      </c>
      <c r="D95" s="84">
        <v>9426.81</v>
      </c>
      <c r="E95" s="107">
        <f t="shared" si="26"/>
        <v>1885.36</v>
      </c>
      <c r="F95" s="107">
        <f t="shared" si="27"/>
        <v>11312.17</v>
      </c>
      <c r="G95" s="102"/>
      <c r="H95" s="20"/>
      <c r="I95" s="20"/>
      <c r="J95" s="108"/>
      <c r="K95" s="79"/>
      <c r="L95" s="79"/>
    </row>
    <row r="96" spans="1:12" s="4" customFormat="1" x14ac:dyDescent="0.25">
      <c r="A96" s="52" t="s">
        <v>569</v>
      </c>
      <c r="B96" s="53" t="s">
        <v>680</v>
      </c>
      <c r="C96" s="6"/>
      <c r="D96" s="84"/>
      <c r="E96" s="18"/>
      <c r="F96" s="60"/>
      <c r="G96" s="102"/>
      <c r="H96" s="20"/>
      <c r="I96" s="20"/>
      <c r="J96" s="108"/>
      <c r="K96" s="79"/>
      <c r="L96" s="79"/>
    </row>
    <row r="97" spans="1:12" s="4" customFormat="1" ht="31.5" x14ac:dyDescent="0.25">
      <c r="A97" s="52" t="s">
        <v>570</v>
      </c>
      <c r="B97" s="53" t="s">
        <v>654</v>
      </c>
      <c r="C97" s="6" t="s">
        <v>679</v>
      </c>
      <c r="D97" s="84">
        <v>18128.48</v>
      </c>
      <c r="E97" s="107">
        <f t="shared" ref="E97:E98" si="28">ROUND(D97*0.2,2)</f>
        <v>3625.7</v>
      </c>
      <c r="F97" s="107">
        <f t="shared" ref="F97:F98" si="29">D97+E97</f>
        <v>21754.18</v>
      </c>
      <c r="G97" s="102"/>
      <c r="H97" s="20"/>
      <c r="I97" s="20"/>
      <c r="J97" s="108"/>
      <c r="K97" s="79"/>
      <c r="L97" s="79"/>
    </row>
    <row r="98" spans="1:12" s="4" customFormat="1" ht="31.5" x14ac:dyDescent="0.25">
      <c r="A98" s="52" t="s">
        <v>571</v>
      </c>
      <c r="B98" s="53" t="s">
        <v>656</v>
      </c>
      <c r="C98" s="6" t="s">
        <v>679</v>
      </c>
      <c r="D98" s="84">
        <v>15227.91</v>
      </c>
      <c r="E98" s="107">
        <f t="shared" si="28"/>
        <v>3045.58</v>
      </c>
      <c r="F98" s="107">
        <f t="shared" si="29"/>
        <v>18273.489999999998</v>
      </c>
      <c r="G98" s="102"/>
      <c r="H98" s="20"/>
      <c r="I98" s="20"/>
      <c r="J98" s="108"/>
      <c r="K98" s="79"/>
      <c r="L98" s="79"/>
    </row>
    <row r="99" spans="1:12" s="4" customFormat="1" x14ac:dyDescent="0.25">
      <c r="A99" s="52" t="s">
        <v>572</v>
      </c>
      <c r="B99" s="53" t="s">
        <v>681</v>
      </c>
      <c r="C99" s="6"/>
      <c r="D99" s="84"/>
      <c r="E99" s="18"/>
      <c r="F99" s="60"/>
      <c r="G99" s="102"/>
      <c r="H99" s="20"/>
      <c r="I99" s="20"/>
      <c r="J99" s="108"/>
      <c r="K99" s="79"/>
      <c r="L99" s="79"/>
    </row>
    <row r="100" spans="1:12" s="4" customFormat="1" ht="31.5" x14ac:dyDescent="0.25">
      <c r="A100" s="52" t="s">
        <v>573</v>
      </c>
      <c r="B100" s="53" t="s">
        <v>654</v>
      </c>
      <c r="C100" s="6" t="s">
        <v>679</v>
      </c>
      <c r="D100" s="84">
        <v>10393.64</v>
      </c>
      <c r="E100" s="107">
        <f t="shared" ref="E100:E101" si="30">ROUND(D100*0.2,2)</f>
        <v>2078.73</v>
      </c>
      <c r="F100" s="107">
        <f t="shared" ref="F100:F101" si="31">D100+E100</f>
        <v>12472.369999999999</v>
      </c>
      <c r="G100" s="102"/>
      <c r="H100" s="20"/>
      <c r="I100" s="20"/>
      <c r="J100" s="108"/>
      <c r="K100" s="79"/>
      <c r="L100" s="79"/>
    </row>
    <row r="101" spans="1:12" s="4" customFormat="1" ht="31.5" x14ac:dyDescent="0.25">
      <c r="A101" s="52" t="s">
        <v>574</v>
      </c>
      <c r="B101" s="53" t="s">
        <v>656</v>
      </c>
      <c r="C101" s="6" t="s">
        <v>679</v>
      </c>
      <c r="D101" s="84">
        <v>4109.1400000000003</v>
      </c>
      <c r="E101" s="107">
        <f t="shared" si="30"/>
        <v>821.83</v>
      </c>
      <c r="F101" s="107">
        <f t="shared" si="31"/>
        <v>4930.97</v>
      </c>
      <c r="G101" s="102"/>
      <c r="H101" s="20"/>
      <c r="I101" s="20"/>
      <c r="J101" s="108"/>
      <c r="K101" s="79"/>
      <c r="L101" s="79"/>
    </row>
    <row r="102" spans="1:12" s="4" customFormat="1" ht="30" x14ac:dyDescent="0.25">
      <c r="A102" s="52" t="s">
        <v>575</v>
      </c>
      <c r="B102" s="53" t="s">
        <v>682</v>
      </c>
      <c r="C102" s="6"/>
      <c r="D102" s="84"/>
      <c r="E102" s="18"/>
      <c r="F102" s="60"/>
      <c r="G102" s="102"/>
      <c r="H102" s="20"/>
      <c r="I102" s="20"/>
      <c r="J102" s="108"/>
      <c r="K102" s="79"/>
      <c r="L102" s="79"/>
    </row>
    <row r="103" spans="1:12" s="4" customFormat="1" x14ac:dyDescent="0.25">
      <c r="A103" s="52" t="s">
        <v>576</v>
      </c>
      <c r="B103" s="53" t="s">
        <v>654</v>
      </c>
      <c r="C103" s="6" t="s">
        <v>683</v>
      </c>
      <c r="D103" s="84">
        <v>5559.38</v>
      </c>
      <c r="E103" s="107">
        <f t="shared" ref="E103:E110" si="32">ROUND(D103*0.2,2)</f>
        <v>1111.8800000000001</v>
      </c>
      <c r="F103" s="107">
        <f t="shared" ref="F103:F110" si="33">D103+E103</f>
        <v>6671.26</v>
      </c>
      <c r="G103" s="102"/>
      <c r="H103" s="20"/>
      <c r="I103" s="20"/>
      <c r="J103" s="108"/>
      <c r="K103" s="79"/>
      <c r="L103" s="79"/>
    </row>
    <row r="104" spans="1:12" s="4" customFormat="1" x14ac:dyDescent="0.25">
      <c r="A104" s="52" t="s">
        <v>577</v>
      </c>
      <c r="B104" s="53" t="s">
        <v>656</v>
      </c>
      <c r="C104" s="6" t="s">
        <v>683</v>
      </c>
      <c r="D104" s="84">
        <v>5559.38</v>
      </c>
      <c r="E104" s="107">
        <f t="shared" si="32"/>
        <v>1111.8800000000001</v>
      </c>
      <c r="F104" s="107">
        <f t="shared" si="33"/>
        <v>6671.26</v>
      </c>
      <c r="G104" s="102"/>
      <c r="H104" s="20"/>
      <c r="I104" s="20"/>
      <c r="J104" s="108"/>
      <c r="K104" s="79"/>
      <c r="L104" s="79"/>
    </row>
    <row r="105" spans="1:12" s="4" customFormat="1" ht="30" x14ac:dyDescent="0.25">
      <c r="A105" s="52" t="s">
        <v>578</v>
      </c>
      <c r="B105" s="53" t="s">
        <v>684</v>
      </c>
      <c r="C105" s="6" t="s">
        <v>683</v>
      </c>
      <c r="D105" s="84">
        <v>1208.57</v>
      </c>
      <c r="E105" s="107">
        <f t="shared" si="32"/>
        <v>241.71</v>
      </c>
      <c r="F105" s="107">
        <f t="shared" si="33"/>
        <v>1450.28</v>
      </c>
      <c r="G105" s="102"/>
      <c r="H105" s="20"/>
      <c r="I105" s="20"/>
      <c r="J105" s="108"/>
      <c r="K105" s="79"/>
      <c r="L105" s="79"/>
    </row>
    <row r="106" spans="1:12" s="4" customFormat="1" ht="30" x14ac:dyDescent="0.25">
      <c r="A106" s="52" t="s">
        <v>579</v>
      </c>
      <c r="B106" s="53" t="s">
        <v>685</v>
      </c>
      <c r="C106" s="6" t="s">
        <v>683</v>
      </c>
      <c r="D106" s="84">
        <v>1208.57</v>
      </c>
      <c r="E106" s="107">
        <f t="shared" si="32"/>
        <v>241.71</v>
      </c>
      <c r="F106" s="107">
        <f t="shared" si="33"/>
        <v>1450.28</v>
      </c>
      <c r="G106" s="102"/>
      <c r="H106" s="20"/>
      <c r="I106" s="20"/>
      <c r="J106" s="108"/>
      <c r="K106" s="79"/>
      <c r="L106" s="79"/>
    </row>
    <row r="107" spans="1:12" s="4" customFormat="1" ht="30" x14ac:dyDescent="0.25">
      <c r="A107" s="52" t="s">
        <v>580</v>
      </c>
      <c r="B107" s="53" t="s">
        <v>686</v>
      </c>
      <c r="C107" s="6" t="s">
        <v>683</v>
      </c>
      <c r="D107" s="84">
        <v>1691.99</v>
      </c>
      <c r="E107" s="107">
        <f t="shared" si="32"/>
        <v>338.4</v>
      </c>
      <c r="F107" s="107">
        <f t="shared" si="33"/>
        <v>2030.3899999999999</v>
      </c>
      <c r="G107" s="102"/>
      <c r="H107" s="20"/>
      <c r="I107" s="20"/>
      <c r="J107" s="108"/>
      <c r="K107" s="79"/>
      <c r="L107" s="79"/>
    </row>
    <row r="108" spans="1:12" s="4" customFormat="1" ht="30" x14ac:dyDescent="0.25">
      <c r="A108" s="52" t="s">
        <v>581</v>
      </c>
      <c r="B108" s="53" t="s">
        <v>687</v>
      </c>
      <c r="C108" s="6" t="s">
        <v>683</v>
      </c>
      <c r="D108" s="84">
        <v>1691.99</v>
      </c>
      <c r="E108" s="107">
        <f t="shared" si="32"/>
        <v>338.4</v>
      </c>
      <c r="F108" s="107">
        <f t="shared" si="33"/>
        <v>2030.3899999999999</v>
      </c>
      <c r="G108" s="102"/>
      <c r="H108" s="20"/>
      <c r="I108" s="20"/>
      <c r="J108" s="108"/>
      <c r="K108" s="79"/>
      <c r="L108" s="79"/>
    </row>
    <row r="109" spans="1:12" s="4" customFormat="1" ht="45" x14ac:dyDescent="0.25">
      <c r="A109" s="52" t="s">
        <v>582</v>
      </c>
      <c r="B109" s="53" t="s">
        <v>688</v>
      </c>
      <c r="C109" s="6" t="s">
        <v>683</v>
      </c>
      <c r="D109" s="84">
        <v>2658.85</v>
      </c>
      <c r="E109" s="107">
        <f t="shared" si="32"/>
        <v>531.77</v>
      </c>
      <c r="F109" s="107">
        <f t="shared" si="33"/>
        <v>3190.62</v>
      </c>
      <c r="G109" s="102"/>
      <c r="H109" s="20"/>
      <c r="I109" s="20"/>
      <c r="J109" s="108"/>
      <c r="K109" s="79"/>
      <c r="L109" s="79"/>
    </row>
    <row r="110" spans="1:12" s="4" customFormat="1" ht="30" x14ac:dyDescent="0.25">
      <c r="A110" s="52" t="s">
        <v>787</v>
      </c>
      <c r="B110" s="53" t="s">
        <v>689</v>
      </c>
      <c r="C110" s="6" t="s">
        <v>683</v>
      </c>
      <c r="D110" s="84">
        <v>2658.85</v>
      </c>
      <c r="E110" s="107">
        <f t="shared" si="32"/>
        <v>531.77</v>
      </c>
      <c r="F110" s="107">
        <f t="shared" si="33"/>
        <v>3190.62</v>
      </c>
      <c r="G110" s="102"/>
      <c r="H110" s="20"/>
      <c r="I110" s="20"/>
      <c r="J110" s="108"/>
      <c r="K110" s="79"/>
      <c r="L110" s="79"/>
    </row>
    <row r="111" spans="1:12" s="4" customFormat="1" ht="30" x14ac:dyDescent="0.25">
      <c r="A111" s="54" t="s">
        <v>583</v>
      </c>
      <c r="B111" s="53" t="s">
        <v>758</v>
      </c>
      <c r="C111" s="6"/>
      <c r="D111" s="84"/>
      <c r="E111" s="107"/>
      <c r="F111" s="107"/>
      <c r="G111" s="102"/>
      <c r="H111" s="20"/>
      <c r="I111" s="20"/>
      <c r="J111" s="108"/>
      <c r="K111" s="79"/>
      <c r="L111" s="79"/>
    </row>
    <row r="112" spans="1:12" s="4" customFormat="1" ht="45" x14ac:dyDescent="0.25">
      <c r="A112" s="54" t="s">
        <v>584</v>
      </c>
      <c r="B112" s="53" t="s">
        <v>759</v>
      </c>
      <c r="C112" s="6" t="s">
        <v>683</v>
      </c>
      <c r="D112" s="84">
        <v>9185.11</v>
      </c>
      <c r="E112" s="107">
        <f t="shared" ref="E112:E175" si="34">ROUND(D112*0.2,2)</f>
        <v>1837.02</v>
      </c>
      <c r="F112" s="107">
        <f t="shared" ref="F112:F113" si="35">D112+E112</f>
        <v>11022.130000000001</v>
      </c>
      <c r="G112" s="102"/>
      <c r="H112" s="20"/>
      <c r="I112" s="20"/>
      <c r="J112" s="108"/>
      <c r="K112" s="79"/>
      <c r="L112" s="79"/>
    </row>
    <row r="113" spans="1:12" s="4" customFormat="1" ht="45" x14ac:dyDescent="0.25">
      <c r="A113" s="54" t="s">
        <v>585</v>
      </c>
      <c r="B113" s="53" t="s">
        <v>760</v>
      </c>
      <c r="C113" s="6" t="s">
        <v>683</v>
      </c>
      <c r="D113" s="84">
        <v>9185.11</v>
      </c>
      <c r="E113" s="107">
        <f t="shared" si="34"/>
        <v>1837.02</v>
      </c>
      <c r="F113" s="107">
        <f t="shared" si="35"/>
        <v>11022.130000000001</v>
      </c>
      <c r="G113" s="102"/>
      <c r="H113" s="20"/>
      <c r="I113" s="20"/>
      <c r="J113" s="108"/>
      <c r="K113" s="79"/>
      <c r="L113" s="79"/>
    </row>
    <row r="114" spans="1:12" s="4" customFormat="1" ht="30" x14ac:dyDescent="0.25">
      <c r="A114" s="52" t="s">
        <v>586</v>
      </c>
      <c r="B114" s="53" t="s">
        <v>690</v>
      </c>
      <c r="C114" s="6"/>
      <c r="D114" s="91"/>
      <c r="E114" s="92"/>
      <c r="F114" s="93"/>
      <c r="G114" s="102"/>
      <c r="H114" s="20"/>
      <c r="I114" s="20"/>
      <c r="J114" s="108"/>
      <c r="K114" s="79"/>
      <c r="L114" s="79"/>
    </row>
    <row r="115" spans="1:12" s="4" customFormat="1" x14ac:dyDescent="0.25">
      <c r="A115" s="52" t="s">
        <v>587</v>
      </c>
      <c r="B115" s="53" t="s">
        <v>654</v>
      </c>
      <c r="C115" s="6" t="s">
        <v>691</v>
      </c>
      <c r="D115" s="84">
        <v>2658.85</v>
      </c>
      <c r="E115" s="107">
        <f t="shared" si="34"/>
        <v>531.77</v>
      </c>
      <c r="F115" s="107">
        <f t="shared" ref="F115:F117" si="36">D115+E115</f>
        <v>3190.62</v>
      </c>
      <c r="G115" s="102"/>
      <c r="H115" s="20"/>
      <c r="I115" s="20"/>
      <c r="J115" s="108"/>
      <c r="K115" s="79"/>
      <c r="L115" s="79"/>
    </row>
    <row r="116" spans="1:12" s="4" customFormat="1" x14ac:dyDescent="0.25">
      <c r="A116" s="52" t="s">
        <v>588</v>
      </c>
      <c r="B116" s="53" t="s">
        <v>692</v>
      </c>
      <c r="C116" s="6" t="s">
        <v>691</v>
      </c>
      <c r="D116" s="84">
        <v>725.12</v>
      </c>
      <c r="E116" s="107">
        <f t="shared" si="34"/>
        <v>145.02000000000001</v>
      </c>
      <c r="F116" s="107">
        <f t="shared" si="36"/>
        <v>870.14</v>
      </c>
      <c r="G116" s="102"/>
      <c r="H116" s="20"/>
      <c r="I116" s="20"/>
      <c r="J116" s="108"/>
      <c r="K116" s="79"/>
      <c r="L116" s="79"/>
    </row>
    <row r="117" spans="1:12" s="4" customFormat="1" ht="30" x14ac:dyDescent="0.25">
      <c r="A117" s="52" t="s">
        <v>589</v>
      </c>
      <c r="B117" s="53" t="s">
        <v>693</v>
      </c>
      <c r="C117" s="6" t="s">
        <v>691</v>
      </c>
      <c r="D117" s="84">
        <v>1933.7</v>
      </c>
      <c r="E117" s="107">
        <f t="shared" si="34"/>
        <v>386.74</v>
      </c>
      <c r="F117" s="107">
        <f t="shared" si="36"/>
        <v>2320.44</v>
      </c>
      <c r="G117" s="102"/>
      <c r="H117" s="20"/>
      <c r="I117" s="20"/>
      <c r="J117" s="108"/>
      <c r="K117" s="79"/>
      <c r="L117" s="79"/>
    </row>
    <row r="118" spans="1:12" s="4" customFormat="1" ht="30" x14ac:dyDescent="0.25">
      <c r="A118" s="52" t="s">
        <v>590</v>
      </c>
      <c r="B118" s="53" t="s">
        <v>694</v>
      </c>
      <c r="C118" s="6"/>
      <c r="D118" s="84"/>
      <c r="E118" s="18"/>
      <c r="F118" s="60"/>
      <c r="G118" s="102"/>
      <c r="H118" s="20"/>
      <c r="I118" s="20"/>
      <c r="J118" s="108"/>
      <c r="K118" s="79"/>
      <c r="L118" s="79"/>
    </row>
    <row r="119" spans="1:12" s="4" customFormat="1" x14ac:dyDescent="0.25">
      <c r="A119" s="52" t="s">
        <v>591</v>
      </c>
      <c r="B119" s="53" t="s">
        <v>654</v>
      </c>
      <c r="C119" s="6" t="s">
        <v>691</v>
      </c>
      <c r="D119" s="84">
        <v>3867.4</v>
      </c>
      <c r="E119" s="107">
        <f t="shared" si="34"/>
        <v>773.48</v>
      </c>
      <c r="F119" s="107">
        <f t="shared" ref="F119:F121" si="37">D119+E119</f>
        <v>4640.88</v>
      </c>
      <c r="G119" s="102"/>
      <c r="H119" s="20"/>
      <c r="I119" s="20"/>
      <c r="J119" s="108"/>
      <c r="K119" s="79"/>
      <c r="L119" s="79"/>
    </row>
    <row r="120" spans="1:12" s="4" customFormat="1" x14ac:dyDescent="0.25">
      <c r="A120" s="52" t="s">
        <v>592</v>
      </c>
      <c r="B120" s="53" t="s">
        <v>692</v>
      </c>
      <c r="C120" s="6" t="s">
        <v>691</v>
      </c>
      <c r="D120" s="84">
        <v>1450.29</v>
      </c>
      <c r="E120" s="107">
        <f t="shared" si="34"/>
        <v>290.06</v>
      </c>
      <c r="F120" s="107">
        <f t="shared" si="37"/>
        <v>1740.35</v>
      </c>
      <c r="G120" s="102"/>
      <c r="H120" s="20"/>
      <c r="I120" s="20"/>
      <c r="J120" s="108"/>
      <c r="K120" s="79"/>
      <c r="L120" s="79"/>
    </row>
    <row r="121" spans="1:12" s="4" customFormat="1" ht="30" x14ac:dyDescent="0.25">
      <c r="A121" s="52" t="s">
        <v>593</v>
      </c>
      <c r="B121" s="53" t="s">
        <v>693</v>
      </c>
      <c r="C121" s="6" t="s">
        <v>691</v>
      </c>
      <c r="D121" s="84">
        <v>2417.14</v>
      </c>
      <c r="E121" s="107">
        <f t="shared" si="34"/>
        <v>483.43</v>
      </c>
      <c r="F121" s="107">
        <f t="shared" si="37"/>
        <v>2900.5699999999997</v>
      </c>
      <c r="G121" s="102"/>
      <c r="H121" s="20"/>
      <c r="I121" s="20"/>
      <c r="J121" s="108"/>
      <c r="K121" s="79"/>
      <c r="L121" s="79"/>
    </row>
    <row r="122" spans="1:12" s="4" customFormat="1" ht="30" x14ac:dyDescent="0.25">
      <c r="A122" s="52" t="s">
        <v>594</v>
      </c>
      <c r="B122" s="53" t="s">
        <v>695</v>
      </c>
      <c r="C122" s="6"/>
      <c r="D122" s="84"/>
      <c r="E122" s="18"/>
      <c r="F122" s="60"/>
      <c r="G122" s="102"/>
      <c r="H122" s="20"/>
      <c r="I122" s="20"/>
      <c r="J122" s="108"/>
      <c r="K122" s="79"/>
      <c r="L122" s="79"/>
    </row>
    <row r="123" spans="1:12" s="4" customFormat="1" x14ac:dyDescent="0.25">
      <c r="A123" s="52" t="s">
        <v>595</v>
      </c>
      <c r="B123" s="53" t="s">
        <v>654</v>
      </c>
      <c r="C123" s="6" t="s">
        <v>691</v>
      </c>
      <c r="D123" s="84">
        <v>4834.26</v>
      </c>
      <c r="E123" s="107">
        <f t="shared" si="34"/>
        <v>966.85</v>
      </c>
      <c r="F123" s="107">
        <f t="shared" ref="F123:F125" si="38">D123+E123</f>
        <v>5801.1100000000006</v>
      </c>
      <c r="G123" s="102"/>
      <c r="H123" s="20"/>
      <c r="I123" s="20"/>
      <c r="J123" s="108"/>
      <c r="K123" s="79"/>
      <c r="L123" s="79"/>
    </row>
    <row r="124" spans="1:12" s="4" customFormat="1" x14ac:dyDescent="0.25">
      <c r="A124" s="52" t="s">
        <v>596</v>
      </c>
      <c r="B124" s="53" t="s">
        <v>692</v>
      </c>
      <c r="C124" s="6" t="s">
        <v>691</v>
      </c>
      <c r="D124" s="84">
        <v>1933.7</v>
      </c>
      <c r="E124" s="107">
        <f t="shared" si="34"/>
        <v>386.74</v>
      </c>
      <c r="F124" s="107">
        <f t="shared" si="38"/>
        <v>2320.44</v>
      </c>
      <c r="G124" s="102"/>
      <c r="H124" s="20"/>
      <c r="I124" s="20"/>
      <c r="J124" s="108"/>
      <c r="K124" s="79"/>
      <c r="L124" s="79"/>
    </row>
    <row r="125" spans="1:12" s="4" customFormat="1" ht="30" x14ac:dyDescent="0.25">
      <c r="A125" s="52" t="s">
        <v>597</v>
      </c>
      <c r="B125" s="53" t="s">
        <v>693</v>
      </c>
      <c r="C125" s="6" t="s">
        <v>691</v>
      </c>
      <c r="D125" s="84">
        <v>2900.58</v>
      </c>
      <c r="E125" s="107">
        <f t="shared" si="34"/>
        <v>580.12</v>
      </c>
      <c r="F125" s="107">
        <f t="shared" si="38"/>
        <v>3480.7</v>
      </c>
      <c r="G125" s="102"/>
      <c r="H125" s="20"/>
      <c r="I125" s="20"/>
      <c r="J125" s="108"/>
      <c r="K125" s="79"/>
      <c r="L125" s="79"/>
    </row>
    <row r="126" spans="1:12" s="4" customFormat="1" x14ac:dyDescent="0.25">
      <c r="A126" s="52" t="s">
        <v>598</v>
      </c>
      <c r="B126" s="53" t="s">
        <v>696</v>
      </c>
      <c r="C126" s="6"/>
      <c r="D126" s="84"/>
      <c r="E126" s="18"/>
      <c r="F126" s="60"/>
      <c r="G126" s="102"/>
      <c r="H126" s="20"/>
      <c r="I126" s="20"/>
      <c r="J126" s="108"/>
      <c r="K126" s="79"/>
      <c r="L126" s="79"/>
    </row>
    <row r="127" spans="1:12" s="4" customFormat="1" x14ac:dyDescent="0.25">
      <c r="A127" s="52" t="s">
        <v>599</v>
      </c>
      <c r="B127" s="53" t="s">
        <v>654</v>
      </c>
      <c r="C127" s="6" t="s">
        <v>697</v>
      </c>
      <c r="D127" s="84">
        <v>3142.27</v>
      </c>
      <c r="E127" s="107">
        <f t="shared" si="34"/>
        <v>628.45000000000005</v>
      </c>
      <c r="F127" s="107">
        <f t="shared" ref="F127:F137" si="39">D127+E127</f>
        <v>3770.7200000000003</v>
      </c>
      <c r="G127" s="102"/>
      <c r="H127" s="20"/>
      <c r="I127" s="20"/>
      <c r="J127" s="108"/>
      <c r="K127" s="79"/>
      <c r="L127" s="79"/>
    </row>
    <row r="128" spans="1:12" s="4" customFormat="1" x14ac:dyDescent="0.25">
      <c r="A128" s="52" t="s">
        <v>600</v>
      </c>
      <c r="B128" s="53" t="s">
        <v>656</v>
      </c>
      <c r="C128" s="6" t="s">
        <v>697</v>
      </c>
      <c r="D128" s="84">
        <v>3383.98</v>
      </c>
      <c r="E128" s="107">
        <f t="shared" si="34"/>
        <v>676.8</v>
      </c>
      <c r="F128" s="107">
        <f t="shared" si="39"/>
        <v>4060.7799999999997</v>
      </c>
      <c r="G128" s="102"/>
      <c r="H128" s="20"/>
      <c r="I128" s="20"/>
      <c r="J128" s="108"/>
      <c r="K128" s="79"/>
      <c r="L128" s="79"/>
    </row>
    <row r="129" spans="1:12" s="4" customFormat="1" x14ac:dyDescent="0.25">
      <c r="A129" s="52" t="s">
        <v>601</v>
      </c>
      <c r="B129" s="53" t="s">
        <v>657</v>
      </c>
      <c r="C129" s="6" t="s">
        <v>697</v>
      </c>
      <c r="D129" s="84">
        <v>2417.14</v>
      </c>
      <c r="E129" s="107">
        <f t="shared" si="34"/>
        <v>483.43</v>
      </c>
      <c r="F129" s="107">
        <f t="shared" si="39"/>
        <v>2900.5699999999997</v>
      </c>
      <c r="G129" s="102"/>
      <c r="H129" s="20"/>
      <c r="I129" s="20"/>
      <c r="J129" s="108"/>
      <c r="K129" s="79"/>
      <c r="L129" s="79"/>
    </row>
    <row r="130" spans="1:12" s="4" customFormat="1" x14ac:dyDescent="0.25">
      <c r="A130" s="52" t="s">
        <v>602</v>
      </c>
      <c r="B130" s="53" t="s">
        <v>698</v>
      </c>
      <c r="C130" s="6" t="s">
        <v>697</v>
      </c>
      <c r="D130" s="84">
        <v>483.42</v>
      </c>
      <c r="E130" s="107">
        <f t="shared" si="34"/>
        <v>96.68</v>
      </c>
      <c r="F130" s="107">
        <f t="shared" si="39"/>
        <v>580.1</v>
      </c>
      <c r="G130" s="102"/>
      <c r="H130" s="20"/>
      <c r="I130" s="20"/>
      <c r="J130" s="108"/>
      <c r="K130" s="79"/>
      <c r="L130" s="79"/>
    </row>
    <row r="131" spans="1:12" s="4" customFormat="1" x14ac:dyDescent="0.25">
      <c r="A131" s="52" t="s">
        <v>603</v>
      </c>
      <c r="B131" s="53" t="s">
        <v>699</v>
      </c>
      <c r="C131" s="6" t="s">
        <v>697</v>
      </c>
      <c r="D131" s="84">
        <v>483.42</v>
      </c>
      <c r="E131" s="107">
        <f t="shared" si="34"/>
        <v>96.68</v>
      </c>
      <c r="F131" s="107">
        <f t="shared" si="39"/>
        <v>580.1</v>
      </c>
      <c r="G131" s="102"/>
      <c r="H131" s="20"/>
      <c r="I131" s="20"/>
      <c r="J131" s="108"/>
      <c r="K131" s="79"/>
      <c r="L131" s="79"/>
    </row>
    <row r="132" spans="1:12" s="4" customFormat="1" x14ac:dyDescent="0.25">
      <c r="A132" s="52" t="s">
        <v>604</v>
      </c>
      <c r="B132" s="53" t="s">
        <v>700</v>
      </c>
      <c r="C132" s="6" t="s">
        <v>697</v>
      </c>
      <c r="D132" s="84">
        <v>483.42</v>
      </c>
      <c r="E132" s="107">
        <f t="shared" si="34"/>
        <v>96.68</v>
      </c>
      <c r="F132" s="107">
        <f t="shared" si="39"/>
        <v>580.1</v>
      </c>
      <c r="G132" s="102"/>
      <c r="H132" s="20"/>
      <c r="I132" s="20"/>
      <c r="J132" s="108"/>
      <c r="K132" s="79"/>
      <c r="L132" s="79"/>
    </row>
    <row r="133" spans="1:12" s="4" customFormat="1" x14ac:dyDescent="0.25">
      <c r="A133" s="52" t="s">
        <v>605</v>
      </c>
      <c r="B133" s="53" t="s">
        <v>701</v>
      </c>
      <c r="C133" s="6" t="s">
        <v>697</v>
      </c>
      <c r="D133" s="84">
        <v>966.86</v>
      </c>
      <c r="E133" s="107">
        <f t="shared" si="34"/>
        <v>193.37</v>
      </c>
      <c r="F133" s="107">
        <f t="shared" si="39"/>
        <v>1160.23</v>
      </c>
      <c r="G133" s="102"/>
      <c r="H133" s="20"/>
      <c r="I133" s="20"/>
      <c r="J133" s="108"/>
      <c r="K133" s="79"/>
      <c r="L133" s="79"/>
    </row>
    <row r="134" spans="1:12" s="4" customFormat="1" x14ac:dyDescent="0.25">
      <c r="A134" s="52" t="s">
        <v>761</v>
      </c>
      <c r="B134" s="53" t="s">
        <v>702</v>
      </c>
      <c r="C134" s="6" t="s">
        <v>697</v>
      </c>
      <c r="D134" s="84">
        <v>966.86</v>
      </c>
      <c r="E134" s="107">
        <f t="shared" si="34"/>
        <v>193.37</v>
      </c>
      <c r="F134" s="107">
        <f t="shared" si="39"/>
        <v>1160.23</v>
      </c>
      <c r="G134" s="102"/>
      <c r="H134" s="20"/>
      <c r="I134" s="20"/>
      <c r="J134" s="108"/>
      <c r="K134" s="79"/>
      <c r="L134" s="79"/>
    </row>
    <row r="135" spans="1:12" s="4" customFormat="1" x14ac:dyDescent="0.25">
      <c r="A135" s="52" t="s">
        <v>762</v>
      </c>
      <c r="B135" s="53" t="s">
        <v>703</v>
      </c>
      <c r="C135" s="6" t="s">
        <v>697</v>
      </c>
      <c r="D135" s="84">
        <v>1691.99</v>
      </c>
      <c r="E135" s="107">
        <f t="shared" si="34"/>
        <v>338.4</v>
      </c>
      <c r="F135" s="107">
        <f t="shared" si="39"/>
        <v>2030.3899999999999</v>
      </c>
      <c r="G135" s="102"/>
      <c r="H135" s="20"/>
      <c r="I135" s="20"/>
      <c r="J135" s="108"/>
      <c r="K135" s="79"/>
      <c r="L135" s="79"/>
    </row>
    <row r="136" spans="1:12" s="4" customFormat="1" x14ac:dyDescent="0.25">
      <c r="A136" s="52" t="s">
        <v>763</v>
      </c>
      <c r="B136" s="53" t="s">
        <v>704</v>
      </c>
      <c r="C136" s="6" t="s">
        <v>697</v>
      </c>
      <c r="D136" s="84">
        <v>1933.7</v>
      </c>
      <c r="E136" s="107">
        <f t="shared" si="34"/>
        <v>386.74</v>
      </c>
      <c r="F136" s="107">
        <f t="shared" si="39"/>
        <v>2320.44</v>
      </c>
      <c r="G136" s="102"/>
      <c r="H136" s="20"/>
      <c r="I136" s="20"/>
      <c r="J136" s="108"/>
      <c r="K136" s="79"/>
      <c r="L136" s="79"/>
    </row>
    <row r="137" spans="1:12" s="4" customFormat="1" x14ac:dyDescent="0.25">
      <c r="A137" s="52" t="s">
        <v>764</v>
      </c>
      <c r="B137" s="53" t="s">
        <v>705</v>
      </c>
      <c r="C137" s="6" t="s">
        <v>697</v>
      </c>
      <c r="D137" s="84">
        <v>1933.7</v>
      </c>
      <c r="E137" s="107">
        <f t="shared" si="34"/>
        <v>386.74</v>
      </c>
      <c r="F137" s="107">
        <f t="shared" si="39"/>
        <v>2320.44</v>
      </c>
      <c r="G137" s="102"/>
      <c r="H137" s="20"/>
      <c r="I137" s="20"/>
      <c r="J137" s="108"/>
      <c r="K137" s="79"/>
      <c r="L137" s="79"/>
    </row>
    <row r="138" spans="1:12" s="4" customFormat="1" x14ac:dyDescent="0.25">
      <c r="A138" s="52" t="s">
        <v>606</v>
      </c>
      <c r="B138" s="53" t="s">
        <v>706</v>
      </c>
      <c r="C138" s="6"/>
      <c r="D138" s="84"/>
      <c r="E138" s="18"/>
      <c r="F138" s="60"/>
      <c r="G138" s="102"/>
      <c r="H138" s="20"/>
      <c r="I138" s="20"/>
      <c r="J138" s="108"/>
      <c r="K138" s="79"/>
      <c r="L138" s="79"/>
    </row>
    <row r="139" spans="1:12" s="4" customFormat="1" x14ac:dyDescent="0.25">
      <c r="A139" s="52" t="s">
        <v>607</v>
      </c>
      <c r="B139" s="53" t="s">
        <v>654</v>
      </c>
      <c r="C139" s="6" t="s">
        <v>697</v>
      </c>
      <c r="D139" s="84">
        <v>4350.83</v>
      </c>
      <c r="E139" s="107">
        <f t="shared" si="34"/>
        <v>870.17</v>
      </c>
      <c r="F139" s="107">
        <f t="shared" ref="F139:F149" si="40">D139+E139</f>
        <v>5221</v>
      </c>
      <c r="G139" s="102"/>
      <c r="H139" s="20"/>
      <c r="I139" s="20"/>
      <c r="J139" s="108"/>
      <c r="K139" s="79"/>
      <c r="L139" s="79"/>
    </row>
    <row r="140" spans="1:12" s="4" customFormat="1" x14ac:dyDescent="0.25">
      <c r="A140" s="52" t="s">
        <v>608</v>
      </c>
      <c r="B140" s="53" t="s">
        <v>656</v>
      </c>
      <c r="C140" s="6" t="s">
        <v>697</v>
      </c>
      <c r="D140" s="84">
        <v>4592.55</v>
      </c>
      <c r="E140" s="107">
        <f t="shared" si="34"/>
        <v>918.51</v>
      </c>
      <c r="F140" s="107">
        <f t="shared" si="40"/>
        <v>5511.06</v>
      </c>
      <c r="G140" s="102"/>
      <c r="H140" s="20"/>
      <c r="I140" s="20"/>
      <c r="J140" s="108"/>
      <c r="K140" s="79"/>
      <c r="L140" s="79"/>
    </row>
    <row r="141" spans="1:12" s="4" customFormat="1" x14ac:dyDescent="0.25">
      <c r="A141" s="52" t="s">
        <v>609</v>
      </c>
      <c r="B141" s="53" t="s">
        <v>657</v>
      </c>
      <c r="C141" s="6" t="s">
        <v>697</v>
      </c>
      <c r="D141" s="84">
        <v>3142.27</v>
      </c>
      <c r="E141" s="107">
        <f t="shared" si="34"/>
        <v>628.45000000000005</v>
      </c>
      <c r="F141" s="107">
        <f t="shared" si="40"/>
        <v>3770.7200000000003</v>
      </c>
      <c r="G141" s="102"/>
      <c r="H141" s="20"/>
      <c r="I141" s="20"/>
      <c r="J141" s="108"/>
      <c r="K141" s="79"/>
      <c r="L141" s="79"/>
    </row>
    <row r="142" spans="1:12" s="4" customFormat="1" x14ac:dyDescent="0.25">
      <c r="A142" s="52" t="s">
        <v>610</v>
      </c>
      <c r="B142" s="53" t="s">
        <v>698</v>
      </c>
      <c r="C142" s="6" t="s">
        <v>697</v>
      </c>
      <c r="D142" s="84">
        <v>725.12</v>
      </c>
      <c r="E142" s="107">
        <f t="shared" si="34"/>
        <v>145.02000000000001</v>
      </c>
      <c r="F142" s="107">
        <f t="shared" si="40"/>
        <v>870.14</v>
      </c>
      <c r="G142" s="102"/>
      <c r="H142" s="20"/>
      <c r="I142" s="20"/>
      <c r="J142" s="108"/>
      <c r="K142" s="79"/>
      <c r="L142" s="79"/>
    </row>
    <row r="143" spans="1:12" s="4" customFormat="1" x14ac:dyDescent="0.25">
      <c r="A143" s="52" t="s">
        <v>611</v>
      </c>
      <c r="B143" s="53" t="s">
        <v>699</v>
      </c>
      <c r="C143" s="6" t="s">
        <v>697</v>
      </c>
      <c r="D143" s="84">
        <v>725.12</v>
      </c>
      <c r="E143" s="107">
        <f t="shared" si="34"/>
        <v>145.02000000000001</v>
      </c>
      <c r="F143" s="107">
        <f t="shared" si="40"/>
        <v>870.14</v>
      </c>
      <c r="G143" s="102"/>
      <c r="H143" s="20"/>
      <c r="I143" s="20"/>
      <c r="J143" s="108"/>
      <c r="K143" s="79"/>
      <c r="L143" s="79"/>
    </row>
    <row r="144" spans="1:12" s="4" customFormat="1" x14ac:dyDescent="0.25">
      <c r="A144" s="52" t="s">
        <v>612</v>
      </c>
      <c r="B144" s="53" t="s">
        <v>700</v>
      </c>
      <c r="C144" s="6" t="s">
        <v>697</v>
      </c>
      <c r="D144" s="84">
        <v>725.12</v>
      </c>
      <c r="E144" s="107">
        <f t="shared" si="34"/>
        <v>145.02000000000001</v>
      </c>
      <c r="F144" s="107">
        <f t="shared" si="40"/>
        <v>870.14</v>
      </c>
      <c r="G144" s="102"/>
      <c r="H144" s="20"/>
      <c r="I144" s="20"/>
      <c r="J144" s="108"/>
      <c r="K144" s="79"/>
      <c r="L144" s="79"/>
    </row>
    <row r="145" spans="1:12" s="4" customFormat="1" x14ac:dyDescent="0.25">
      <c r="A145" s="52" t="s">
        <v>765</v>
      </c>
      <c r="B145" s="53" t="s">
        <v>701</v>
      </c>
      <c r="C145" s="6" t="s">
        <v>697</v>
      </c>
      <c r="D145" s="84">
        <v>1450.29</v>
      </c>
      <c r="E145" s="107">
        <f t="shared" si="34"/>
        <v>290.06</v>
      </c>
      <c r="F145" s="107">
        <f t="shared" si="40"/>
        <v>1740.35</v>
      </c>
      <c r="G145" s="102"/>
      <c r="H145" s="20"/>
      <c r="I145" s="20"/>
      <c r="J145" s="108"/>
      <c r="K145" s="79"/>
      <c r="L145" s="79"/>
    </row>
    <row r="146" spans="1:12" s="4" customFormat="1" x14ac:dyDescent="0.25">
      <c r="A146" s="52" t="s">
        <v>766</v>
      </c>
      <c r="B146" s="53" t="s">
        <v>702</v>
      </c>
      <c r="C146" s="6" t="s">
        <v>697</v>
      </c>
      <c r="D146" s="84">
        <v>1450.29</v>
      </c>
      <c r="E146" s="107">
        <f t="shared" si="34"/>
        <v>290.06</v>
      </c>
      <c r="F146" s="107">
        <f t="shared" si="40"/>
        <v>1740.35</v>
      </c>
      <c r="G146" s="102"/>
      <c r="H146" s="20"/>
      <c r="I146" s="20"/>
      <c r="J146" s="108"/>
      <c r="K146" s="79"/>
      <c r="L146" s="79"/>
    </row>
    <row r="147" spans="1:12" s="4" customFormat="1" x14ac:dyDescent="0.25">
      <c r="A147" s="52" t="s">
        <v>767</v>
      </c>
      <c r="B147" s="53" t="s">
        <v>703</v>
      </c>
      <c r="C147" s="6" t="s">
        <v>697</v>
      </c>
      <c r="D147" s="84">
        <v>2175.4</v>
      </c>
      <c r="E147" s="107">
        <f t="shared" si="34"/>
        <v>435.08</v>
      </c>
      <c r="F147" s="107">
        <f t="shared" si="40"/>
        <v>2610.48</v>
      </c>
      <c r="G147" s="102"/>
      <c r="H147" s="20"/>
      <c r="I147" s="20"/>
      <c r="J147" s="108"/>
      <c r="K147" s="79"/>
      <c r="L147" s="79"/>
    </row>
    <row r="148" spans="1:12" s="4" customFormat="1" x14ac:dyDescent="0.25">
      <c r="A148" s="52" t="s">
        <v>768</v>
      </c>
      <c r="B148" s="53" t="s">
        <v>704</v>
      </c>
      <c r="C148" s="6" t="s">
        <v>697</v>
      </c>
      <c r="D148" s="84">
        <v>2417.14</v>
      </c>
      <c r="E148" s="107">
        <f t="shared" si="34"/>
        <v>483.43</v>
      </c>
      <c r="F148" s="107">
        <f t="shared" si="40"/>
        <v>2900.5699999999997</v>
      </c>
      <c r="G148" s="102"/>
      <c r="H148" s="20"/>
      <c r="I148" s="20"/>
      <c r="J148" s="108"/>
      <c r="K148" s="79"/>
      <c r="L148" s="79"/>
    </row>
    <row r="149" spans="1:12" s="4" customFormat="1" x14ac:dyDescent="0.25">
      <c r="A149" s="52" t="s">
        <v>788</v>
      </c>
      <c r="B149" s="53" t="s">
        <v>705</v>
      </c>
      <c r="C149" s="6" t="s">
        <v>697</v>
      </c>
      <c r="D149" s="84">
        <v>2417.14</v>
      </c>
      <c r="E149" s="107">
        <f t="shared" si="34"/>
        <v>483.43</v>
      </c>
      <c r="F149" s="107">
        <f t="shared" si="40"/>
        <v>2900.5699999999997</v>
      </c>
      <c r="G149" s="102"/>
      <c r="H149" s="20"/>
      <c r="I149" s="20"/>
      <c r="J149" s="108"/>
      <c r="K149" s="79"/>
      <c r="L149" s="79"/>
    </row>
    <row r="150" spans="1:12" s="4" customFormat="1" x14ac:dyDescent="0.25">
      <c r="A150" s="52" t="s">
        <v>613</v>
      </c>
      <c r="B150" s="53" t="s">
        <v>707</v>
      </c>
      <c r="C150" s="6"/>
      <c r="D150" s="84"/>
      <c r="E150" s="18"/>
      <c r="F150" s="60"/>
      <c r="G150" s="102"/>
      <c r="H150" s="20"/>
      <c r="I150" s="20"/>
      <c r="J150" s="108"/>
      <c r="K150" s="79"/>
      <c r="L150" s="79"/>
    </row>
    <row r="151" spans="1:12" s="4" customFormat="1" x14ac:dyDescent="0.25">
      <c r="A151" s="52" t="s">
        <v>614</v>
      </c>
      <c r="B151" s="53" t="s">
        <v>654</v>
      </c>
      <c r="C151" s="6" t="s">
        <v>697</v>
      </c>
      <c r="D151" s="84">
        <v>2605.5300000000002</v>
      </c>
      <c r="E151" s="107">
        <f t="shared" si="34"/>
        <v>521.11</v>
      </c>
      <c r="F151" s="107">
        <f t="shared" ref="F151:F161" si="41">D151+E151</f>
        <v>3126.6400000000003</v>
      </c>
      <c r="G151" s="102"/>
      <c r="H151" s="20"/>
      <c r="I151" s="20"/>
      <c r="J151" s="108"/>
      <c r="K151" s="79"/>
      <c r="L151" s="79"/>
    </row>
    <row r="152" spans="1:12" s="4" customFormat="1" x14ac:dyDescent="0.25">
      <c r="A152" s="52" t="s">
        <v>615</v>
      </c>
      <c r="B152" s="53" t="s">
        <v>656</v>
      </c>
      <c r="C152" s="6" t="s">
        <v>697</v>
      </c>
      <c r="D152" s="84">
        <v>6966.96</v>
      </c>
      <c r="E152" s="107">
        <f t="shared" si="34"/>
        <v>1393.39</v>
      </c>
      <c r="F152" s="107">
        <f t="shared" si="41"/>
        <v>8360.35</v>
      </c>
      <c r="G152" s="102"/>
      <c r="H152" s="20"/>
      <c r="I152" s="20"/>
      <c r="J152" s="108"/>
      <c r="K152" s="79"/>
      <c r="L152" s="79"/>
    </row>
    <row r="153" spans="1:12" s="4" customFormat="1" x14ac:dyDescent="0.25">
      <c r="A153" s="52" t="s">
        <v>616</v>
      </c>
      <c r="B153" s="53" t="s">
        <v>657</v>
      </c>
      <c r="C153" s="6" t="s">
        <v>697</v>
      </c>
      <c r="D153" s="84">
        <v>2832.09</v>
      </c>
      <c r="E153" s="107">
        <f t="shared" si="34"/>
        <v>566.41999999999996</v>
      </c>
      <c r="F153" s="107">
        <f t="shared" si="41"/>
        <v>3398.51</v>
      </c>
      <c r="G153" s="102"/>
      <c r="H153" s="20"/>
      <c r="I153" s="20"/>
      <c r="J153" s="108"/>
      <c r="K153" s="79"/>
      <c r="L153" s="79"/>
    </row>
    <row r="154" spans="1:12" s="4" customFormat="1" x14ac:dyDescent="0.25">
      <c r="A154" s="52" t="s">
        <v>617</v>
      </c>
      <c r="B154" s="53" t="s">
        <v>698</v>
      </c>
      <c r="C154" s="6" t="s">
        <v>697</v>
      </c>
      <c r="D154" s="84">
        <v>736.35</v>
      </c>
      <c r="E154" s="107">
        <f t="shared" si="34"/>
        <v>147.27000000000001</v>
      </c>
      <c r="F154" s="107">
        <f t="shared" si="41"/>
        <v>883.62</v>
      </c>
      <c r="G154" s="102"/>
      <c r="H154" s="20"/>
      <c r="I154" s="20"/>
      <c r="J154" s="108"/>
      <c r="K154" s="79"/>
      <c r="L154" s="79"/>
    </row>
    <row r="155" spans="1:12" s="4" customFormat="1" x14ac:dyDescent="0.25">
      <c r="A155" s="52" t="s">
        <v>618</v>
      </c>
      <c r="B155" s="53" t="s">
        <v>699</v>
      </c>
      <c r="C155" s="6" t="s">
        <v>697</v>
      </c>
      <c r="D155" s="84">
        <v>736.35</v>
      </c>
      <c r="E155" s="107">
        <f t="shared" si="34"/>
        <v>147.27000000000001</v>
      </c>
      <c r="F155" s="107">
        <f t="shared" si="41"/>
        <v>883.62</v>
      </c>
      <c r="G155" s="102"/>
      <c r="H155" s="20"/>
      <c r="I155" s="20"/>
      <c r="J155" s="108"/>
      <c r="K155" s="79"/>
      <c r="L155" s="79"/>
    </row>
    <row r="156" spans="1:12" s="4" customFormat="1" x14ac:dyDescent="0.25">
      <c r="A156" s="52" t="s">
        <v>619</v>
      </c>
      <c r="B156" s="53" t="s">
        <v>700</v>
      </c>
      <c r="C156" s="6" t="s">
        <v>697</v>
      </c>
      <c r="D156" s="84">
        <v>736.35</v>
      </c>
      <c r="E156" s="107">
        <f t="shared" si="34"/>
        <v>147.27000000000001</v>
      </c>
      <c r="F156" s="107">
        <f t="shared" si="41"/>
        <v>883.62</v>
      </c>
      <c r="G156" s="102"/>
      <c r="H156" s="20"/>
      <c r="I156" s="20"/>
      <c r="J156" s="108"/>
      <c r="K156" s="79"/>
      <c r="L156" s="79"/>
    </row>
    <row r="157" spans="1:12" s="4" customFormat="1" x14ac:dyDescent="0.25">
      <c r="A157" s="52" t="s">
        <v>620</v>
      </c>
      <c r="B157" s="53" t="s">
        <v>701</v>
      </c>
      <c r="C157" s="6" t="s">
        <v>697</v>
      </c>
      <c r="D157" s="84">
        <v>1869.2</v>
      </c>
      <c r="E157" s="107">
        <f t="shared" si="34"/>
        <v>373.84</v>
      </c>
      <c r="F157" s="107">
        <f t="shared" si="41"/>
        <v>2243.04</v>
      </c>
      <c r="G157" s="102"/>
      <c r="H157" s="20"/>
      <c r="I157" s="20"/>
      <c r="J157" s="108"/>
      <c r="K157" s="79"/>
      <c r="L157" s="79"/>
    </row>
    <row r="158" spans="1:12" s="4" customFormat="1" x14ac:dyDescent="0.25">
      <c r="A158" s="52" t="s">
        <v>621</v>
      </c>
      <c r="B158" s="53" t="s">
        <v>702</v>
      </c>
      <c r="C158" s="6" t="s">
        <v>697</v>
      </c>
      <c r="D158" s="84">
        <v>1869.2</v>
      </c>
      <c r="E158" s="107">
        <f t="shared" si="34"/>
        <v>373.84</v>
      </c>
      <c r="F158" s="107">
        <f t="shared" si="41"/>
        <v>2243.04</v>
      </c>
      <c r="G158" s="102"/>
      <c r="H158" s="20"/>
      <c r="I158" s="20"/>
      <c r="J158" s="108"/>
      <c r="K158" s="79"/>
      <c r="L158" s="79"/>
    </row>
    <row r="159" spans="1:12" s="4" customFormat="1" x14ac:dyDescent="0.25">
      <c r="A159" s="52" t="s">
        <v>622</v>
      </c>
      <c r="B159" s="53" t="s">
        <v>704</v>
      </c>
      <c r="C159" s="6" t="s">
        <v>697</v>
      </c>
      <c r="D159" s="84">
        <v>2095.7600000000002</v>
      </c>
      <c r="E159" s="107">
        <f t="shared" si="34"/>
        <v>419.15</v>
      </c>
      <c r="F159" s="107">
        <f t="shared" si="41"/>
        <v>2514.9100000000003</v>
      </c>
      <c r="G159" s="102"/>
      <c r="H159" s="20"/>
      <c r="I159" s="20"/>
      <c r="J159" s="108"/>
      <c r="K159" s="79"/>
      <c r="L159" s="79"/>
    </row>
    <row r="160" spans="1:12" s="4" customFormat="1" x14ac:dyDescent="0.25">
      <c r="A160" s="52" t="s">
        <v>623</v>
      </c>
      <c r="B160" s="53" t="s">
        <v>705</v>
      </c>
      <c r="C160" s="6" t="s">
        <v>697</v>
      </c>
      <c r="D160" s="84">
        <v>2095.7600000000002</v>
      </c>
      <c r="E160" s="107">
        <f t="shared" si="34"/>
        <v>419.15</v>
      </c>
      <c r="F160" s="107">
        <f t="shared" si="41"/>
        <v>2514.9100000000003</v>
      </c>
      <c r="G160" s="102"/>
      <c r="H160" s="20"/>
      <c r="I160" s="20"/>
      <c r="J160" s="108"/>
      <c r="K160" s="79"/>
      <c r="L160" s="79"/>
    </row>
    <row r="161" spans="1:12" s="4" customFormat="1" ht="30" x14ac:dyDescent="0.25">
      <c r="A161" s="52" t="s">
        <v>788</v>
      </c>
      <c r="B161" s="53" t="s">
        <v>708</v>
      </c>
      <c r="C161" s="6" t="s">
        <v>697</v>
      </c>
      <c r="D161" s="84">
        <v>2265.66</v>
      </c>
      <c r="E161" s="107">
        <f t="shared" si="34"/>
        <v>453.13</v>
      </c>
      <c r="F161" s="107">
        <f t="shared" si="41"/>
        <v>2718.79</v>
      </c>
      <c r="G161" s="102"/>
      <c r="H161" s="20"/>
      <c r="I161" s="20"/>
      <c r="J161" s="108"/>
      <c r="K161" s="79"/>
      <c r="L161" s="79"/>
    </row>
    <row r="162" spans="1:12" s="4" customFormat="1" ht="30" x14ac:dyDescent="0.25">
      <c r="A162" s="52" t="s">
        <v>624</v>
      </c>
      <c r="B162" s="53" t="s">
        <v>709</v>
      </c>
      <c r="C162" s="6"/>
      <c r="D162" s="84"/>
      <c r="E162" s="18"/>
      <c r="F162" s="60"/>
      <c r="G162" s="102"/>
      <c r="H162" s="20"/>
      <c r="I162" s="20"/>
      <c r="J162" s="108"/>
      <c r="K162" s="79"/>
      <c r="L162" s="79"/>
    </row>
    <row r="163" spans="1:12" s="4" customFormat="1" x14ac:dyDescent="0.25">
      <c r="A163" s="52" t="s">
        <v>625</v>
      </c>
      <c r="B163" s="53" t="s">
        <v>654</v>
      </c>
      <c r="C163" s="6" t="s">
        <v>710</v>
      </c>
      <c r="D163" s="84">
        <v>8218.24</v>
      </c>
      <c r="E163" s="107">
        <f t="shared" si="34"/>
        <v>1643.65</v>
      </c>
      <c r="F163" s="107">
        <f t="shared" ref="F163:F169" si="42">D163+E163</f>
        <v>9861.89</v>
      </c>
      <c r="G163" s="102"/>
      <c r="H163" s="20"/>
      <c r="I163" s="20"/>
      <c r="J163" s="108"/>
      <c r="K163" s="79"/>
      <c r="L163" s="79"/>
    </row>
    <row r="164" spans="1:12" s="4" customFormat="1" x14ac:dyDescent="0.25">
      <c r="A164" s="52" t="s">
        <v>626</v>
      </c>
      <c r="B164" s="53" t="s">
        <v>656</v>
      </c>
      <c r="C164" s="6" t="s">
        <v>710</v>
      </c>
      <c r="D164" s="84">
        <v>725.12</v>
      </c>
      <c r="E164" s="107">
        <f t="shared" si="34"/>
        <v>145.02000000000001</v>
      </c>
      <c r="F164" s="107">
        <f t="shared" si="42"/>
        <v>870.14</v>
      </c>
      <c r="G164" s="102"/>
      <c r="H164" s="20"/>
      <c r="I164" s="20"/>
      <c r="J164" s="108"/>
      <c r="K164" s="79"/>
      <c r="L164" s="79"/>
    </row>
    <row r="165" spans="1:12" s="4" customFormat="1" x14ac:dyDescent="0.25">
      <c r="A165" s="52" t="s">
        <v>627</v>
      </c>
      <c r="B165" s="53" t="s">
        <v>711</v>
      </c>
      <c r="C165" s="6" t="s">
        <v>710</v>
      </c>
      <c r="D165" s="84">
        <v>725.12</v>
      </c>
      <c r="E165" s="107">
        <f t="shared" si="34"/>
        <v>145.02000000000001</v>
      </c>
      <c r="F165" s="107">
        <f t="shared" si="42"/>
        <v>870.14</v>
      </c>
      <c r="G165" s="102"/>
      <c r="H165" s="20"/>
      <c r="I165" s="20"/>
      <c r="J165" s="108"/>
      <c r="K165" s="79"/>
      <c r="L165" s="79"/>
    </row>
    <row r="166" spans="1:12" s="4" customFormat="1" x14ac:dyDescent="0.25">
      <c r="A166" s="52" t="s">
        <v>628</v>
      </c>
      <c r="B166" s="53" t="s">
        <v>712</v>
      </c>
      <c r="C166" s="6" t="s">
        <v>710</v>
      </c>
      <c r="D166" s="84">
        <v>725.12</v>
      </c>
      <c r="E166" s="107">
        <f t="shared" si="34"/>
        <v>145.02000000000001</v>
      </c>
      <c r="F166" s="107">
        <f t="shared" si="42"/>
        <v>870.14</v>
      </c>
      <c r="G166" s="102"/>
      <c r="H166" s="20"/>
      <c r="I166" s="20"/>
      <c r="J166" s="108"/>
      <c r="K166" s="79"/>
      <c r="L166" s="79"/>
    </row>
    <row r="167" spans="1:12" s="4" customFormat="1" x14ac:dyDescent="0.25">
      <c r="A167" s="52" t="s">
        <v>629</v>
      </c>
      <c r="B167" s="53" t="s">
        <v>713</v>
      </c>
      <c r="C167" s="6" t="s">
        <v>710</v>
      </c>
      <c r="D167" s="84">
        <v>1691.99</v>
      </c>
      <c r="E167" s="107">
        <f t="shared" si="34"/>
        <v>338.4</v>
      </c>
      <c r="F167" s="107">
        <f t="shared" si="42"/>
        <v>2030.3899999999999</v>
      </c>
      <c r="G167" s="102"/>
      <c r="H167" s="20"/>
      <c r="I167" s="20"/>
      <c r="J167" s="108"/>
      <c r="K167" s="79"/>
      <c r="L167" s="79"/>
    </row>
    <row r="168" spans="1:12" s="4" customFormat="1" x14ac:dyDescent="0.25">
      <c r="A168" s="52" t="s">
        <v>630</v>
      </c>
      <c r="B168" s="53" t="s">
        <v>714</v>
      </c>
      <c r="C168" s="6" t="s">
        <v>710</v>
      </c>
      <c r="D168" s="84">
        <v>2900.58</v>
      </c>
      <c r="E168" s="107">
        <f t="shared" si="34"/>
        <v>580.12</v>
      </c>
      <c r="F168" s="107">
        <f t="shared" si="42"/>
        <v>3480.7</v>
      </c>
      <c r="G168" s="102"/>
      <c r="H168" s="20"/>
      <c r="I168" s="20"/>
      <c r="J168" s="108"/>
      <c r="K168" s="79"/>
      <c r="L168" s="79"/>
    </row>
    <row r="169" spans="1:12" s="4" customFormat="1" x14ac:dyDescent="0.25">
      <c r="A169" s="52" t="s">
        <v>631</v>
      </c>
      <c r="B169" s="53" t="s">
        <v>715</v>
      </c>
      <c r="C169" s="6" t="s">
        <v>710</v>
      </c>
      <c r="D169" s="84">
        <v>2900.58</v>
      </c>
      <c r="E169" s="107">
        <f t="shared" si="34"/>
        <v>580.12</v>
      </c>
      <c r="F169" s="107">
        <f t="shared" si="42"/>
        <v>3480.7</v>
      </c>
      <c r="G169" s="102"/>
      <c r="H169" s="20"/>
      <c r="I169" s="20"/>
      <c r="J169" s="108"/>
      <c r="K169" s="79"/>
      <c r="L169" s="79"/>
    </row>
    <row r="170" spans="1:12" s="4" customFormat="1" x14ac:dyDescent="0.25">
      <c r="A170" s="52" t="s">
        <v>632</v>
      </c>
      <c r="B170" s="53" t="s">
        <v>716</v>
      </c>
      <c r="C170" s="7"/>
      <c r="D170" s="84"/>
      <c r="E170" s="18"/>
      <c r="F170" s="60"/>
      <c r="G170" s="102"/>
      <c r="H170" s="20"/>
      <c r="I170" s="20"/>
      <c r="J170" s="108"/>
      <c r="K170" s="79"/>
      <c r="L170" s="79"/>
    </row>
    <row r="171" spans="1:12" s="4" customFormat="1" x14ac:dyDescent="0.25">
      <c r="A171" s="52" t="s">
        <v>633</v>
      </c>
      <c r="B171" s="53" t="s">
        <v>437</v>
      </c>
      <c r="C171" s="7" t="s">
        <v>232</v>
      </c>
      <c r="D171" s="84">
        <v>325.93</v>
      </c>
      <c r="E171" s="107">
        <f t="shared" si="34"/>
        <v>65.19</v>
      </c>
      <c r="F171" s="107">
        <f t="shared" ref="F171:F176" si="43">D171+E171</f>
        <v>391.12</v>
      </c>
      <c r="G171" s="102"/>
      <c r="H171" s="20"/>
      <c r="I171" s="20"/>
      <c r="J171" s="108"/>
      <c r="K171" s="79"/>
      <c r="L171" s="79"/>
    </row>
    <row r="172" spans="1:12" s="4" customFormat="1" x14ac:dyDescent="0.25">
      <c r="A172" s="52" t="s">
        <v>634</v>
      </c>
      <c r="B172" s="53" t="s">
        <v>438</v>
      </c>
      <c r="C172" s="7" t="s">
        <v>11</v>
      </c>
      <c r="D172" s="84">
        <v>427.78</v>
      </c>
      <c r="E172" s="107">
        <f t="shared" si="34"/>
        <v>85.56</v>
      </c>
      <c r="F172" s="107">
        <f t="shared" si="43"/>
        <v>513.33999999999992</v>
      </c>
      <c r="G172" s="102"/>
      <c r="H172" s="20"/>
      <c r="I172" s="20"/>
      <c r="J172" s="108"/>
      <c r="K172" s="79"/>
      <c r="L172" s="79"/>
    </row>
    <row r="173" spans="1:12" s="4" customFormat="1" x14ac:dyDescent="0.25">
      <c r="A173" s="52" t="s">
        <v>635</v>
      </c>
      <c r="B173" s="53" t="s">
        <v>439</v>
      </c>
      <c r="C173" s="7" t="s">
        <v>11</v>
      </c>
      <c r="D173" s="84">
        <v>325.93</v>
      </c>
      <c r="E173" s="107">
        <f t="shared" si="34"/>
        <v>65.19</v>
      </c>
      <c r="F173" s="107">
        <f t="shared" si="43"/>
        <v>391.12</v>
      </c>
      <c r="G173" s="102"/>
      <c r="H173" s="20"/>
      <c r="I173" s="20"/>
      <c r="J173" s="108"/>
      <c r="K173" s="79"/>
      <c r="L173" s="79"/>
    </row>
    <row r="174" spans="1:12" s="4" customFormat="1" x14ac:dyDescent="0.25">
      <c r="A174" s="52" t="s">
        <v>769</v>
      </c>
      <c r="B174" s="53" t="s">
        <v>440</v>
      </c>
      <c r="C174" s="7" t="s">
        <v>11</v>
      </c>
      <c r="D174" s="84">
        <v>641.69000000000005</v>
      </c>
      <c r="E174" s="107">
        <f t="shared" si="34"/>
        <v>128.34</v>
      </c>
      <c r="F174" s="107">
        <f t="shared" si="43"/>
        <v>770.03000000000009</v>
      </c>
      <c r="G174" s="102"/>
      <c r="H174" s="20"/>
      <c r="I174" s="20"/>
      <c r="J174" s="108"/>
      <c r="K174" s="79"/>
      <c r="L174" s="79"/>
    </row>
    <row r="175" spans="1:12" s="4" customFormat="1" ht="30" x14ac:dyDescent="0.25">
      <c r="A175" s="52" t="s">
        <v>770</v>
      </c>
      <c r="B175" s="53" t="s">
        <v>441</v>
      </c>
      <c r="C175" s="7" t="s">
        <v>11</v>
      </c>
      <c r="D175" s="84">
        <v>325.93</v>
      </c>
      <c r="E175" s="107">
        <f t="shared" si="34"/>
        <v>65.19</v>
      </c>
      <c r="F175" s="107">
        <f t="shared" si="43"/>
        <v>391.12</v>
      </c>
      <c r="G175" s="102"/>
      <c r="H175" s="20"/>
      <c r="I175" s="20"/>
      <c r="J175" s="108"/>
      <c r="K175" s="79"/>
      <c r="L175" s="79"/>
    </row>
    <row r="176" spans="1:12" s="4" customFormat="1" ht="30" x14ac:dyDescent="0.25">
      <c r="A176" s="52" t="s">
        <v>771</v>
      </c>
      <c r="B176" s="53" t="s">
        <v>442</v>
      </c>
      <c r="C176" s="7" t="s">
        <v>11</v>
      </c>
      <c r="D176" s="84">
        <v>213.89</v>
      </c>
      <c r="E176" s="107">
        <f t="shared" ref="E176" si="44">ROUND(D176*0.2,2)</f>
        <v>42.78</v>
      </c>
      <c r="F176" s="107">
        <f t="shared" si="43"/>
        <v>256.66999999999996</v>
      </c>
      <c r="G176" s="102"/>
      <c r="H176" s="20"/>
      <c r="I176" s="20"/>
      <c r="J176" s="108"/>
      <c r="K176" s="79"/>
      <c r="L176" s="79"/>
    </row>
    <row r="177" spans="1:12" s="4" customFormat="1" ht="30" x14ac:dyDescent="0.25">
      <c r="A177" s="52" t="s">
        <v>636</v>
      </c>
      <c r="B177" s="53" t="s">
        <v>717</v>
      </c>
      <c r="C177" s="6"/>
      <c r="D177" s="84"/>
      <c r="E177" s="18"/>
      <c r="F177" s="60"/>
      <c r="G177" s="102"/>
      <c r="H177" s="20"/>
      <c r="I177" s="20"/>
      <c r="J177" s="108"/>
      <c r="K177" s="79"/>
      <c r="L177" s="79"/>
    </row>
    <row r="178" spans="1:12" s="4" customFormat="1" x14ac:dyDescent="0.25">
      <c r="A178" s="52" t="s">
        <v>637</v>
      </c>
      <c r="B178" s="53" t="s">
        <v>654</v>
      </c>
      <c r="C178" s="6" t="s">
        <v>718</v>
      </c>
      <c r="D178" s="84">
        <v>7648.4</v>
      </c>
      <c r="E178" s="107">
        <f t="shared" ref="E178:E187" si="45">ROUND(D178*0.2,2)</f>
        <v>1529.68</v>
      </c>
      <c r="F178" s="107">
        <f t="shared" ref="F178:F187" si="46">D178+E178</f>
        <v>9178.08</v>
      </c>
      <c r="G178" s="102"/>
      <c r="H178" s="20"/>
      <c r="I178" s="20"/>
      <c r="J178" s="108"/>
      <c r="K178" s="79"/>
      <c r="L178" s="79"/>
    </row>
    <row r="179" spans="1:12" s="4" customFormat="1" x14ac:dyDescent="0.25">
      <c r="A179" s="52" t="s">
        <v>638</v>
      </c>
      <c r="B179" s="53" t="s">
        <v>657</v>
      </c>
      <c r="C179" s="6" t="s">
        <v>718</v>
      </c>
      <c r="D179" s="84">
        <v>3775.79</v>
      </c>
      <c r="E179" s="107">
        <f t="shared" si="45"/>
        <v>755.16</v>
      </c>
      <c r="F179" s="107">
        <f t="shared" si="46"/>
        <v>4530.95</v>
      </c>
      <c r="G179" s="102"/>
      <c r="H179" s="20"/>
      <c r="I179" s="20"/>
      <c r="J179" s="108"/>
      <c r="K179" s="79"/>
      <c r="L179" s="79"/>
    </row>
    <row r="180" spans="1:12" s="4" customFormat="1" ht="30" x14ac:dyDescent="0.25">
      <c r="A180" s="52" t="s">
        <v>639</v>
      </c>
      <c r="B180" s="53" t="s">
        <v>719</v>
      </c>
      <c r="C180" s="6" t="s">
        <v>718</v>
      </c>
      <c r="D180" s="84">
        <v>1161.8</v>
      </c>
      <c r="E180" s="107">
        <f t="shared" si="45"/>
        <v>232.36</v>
      </c>
      <c r="F180" s="107">
        <f t="shared" si="46"/>
        <v>1394.1599999999999</v>
      </c>
      <c r="G180" s="102"/>
      <c r="H180" s="20"/>
      <c r="I180" s="20"/>
      <c r="J180" s="108"/>
      <c r="K180" s="79"/>
      <c r="L180" s="79"/>
    </row>
    <row r="181" spans="1:12" s="4" customFormat="1" ht="30" x14ac:dyDescent="0.25">
      <c r="A181" s="52" t="s">
        <v>640</v>
      </c>
      <c r="B181" s="53" t="s">
        <v>720</v>
      </c>
      <c r="C181" s="6" t="s">
        <v>718</v>
      </c>
      <c r="D181" s="84">
        <v>1161.8</v>
      </c>
      <c r="E181" s="107">
        <f t="shared" si="45"/>
        <v>232.36</v>
      </c>
      <c r="F181" s="107">
        <f t="shared" si="46"/>
        <v>1394.1599999999999</v>
      </c>
      <c r="G181" s="102"/>
      <c r="H181" s="20"/>
      <c r="I181" s="20"/>
      <c r="J181" s="108"/>
      <c r="K181" s="79"/>
      <c r="L181" s="79"/>
    </row>
    <row r="182" spans="1:12" s="4" customFormat="1" ht="30" x14ac:dyDescent="0.25">
      <c r="A182" s="52" t="s">
        <v>641</v>
      </c>
      <c r="B182" s="53" t="s">
        <v>721</v>
      </c>
      <c r="C182" s="6" t="s">
        <v>718</v>
      </c>
      <c r="D182" s="84">
        <v>1936.3</v>
      </c>
      <c r="E182" s="107">
        <f t="shared" si="45"/>
        <v>387.26</v>
      </c>
      <c r="F182" s="107">
        <f t="shared" si="46"/>
        <v>2323.56</v>
      </c>
      <c r="G182" s="102"/>
      <c r="H182" s="20"/>
      <c r="I182" s="20"/>
      <c r="J182" s="108"/>
      <c r="K182" s="79"/>
      <c r="L182" s="79"/>
    </row>
    <row r="183" spans="1:12" s="4" customFormat="1" ht="30" x14ac:dyDescent="0.25">
      <c r="A183" s="52" t="s">
        <v>772</v>
      </c>
      <c r="B183" s="53" t="s">
        <v>722</v>
      </c>
      <c r="C183" s="6" t="s">
        <v>718</v>
      </c>
      <c r="D183" s="84">
        <v>677.7</v>
      </c>
      <c r="E183" s="107">
        <f t="shared" si="45"/>
        <v>135.54</v>
      </c>
      <c r="F183" s="107">
        <f t="shared" si="46"/>
        <v>813.24</v>
      </c>
      <c r="G183" s="102"/>
      <c r="H183" s="20"/>
      <c r="I183" s="20"/>
      <c r="J183" s="108"/>
      <c r="K183" s="79"/>
      <c r="L183" s="79"/>
    </row>
    <row r="184" spans="1:12" s="4" customFormat="1" ht="30" x14ac:dyDescent="0.25">
      <c r="A184" s="52" t="s">
        <v>773</v>
      </c>
      <c r="B184" s="53" t="s">
        <v>723</v>
      </c>
      <c r="C184" s="6" t="s">
        <v>718</v>
      </c>
      <c r="D184" s="84">
        <v>677.7</v>
      </c>
      <c r="E184" s="107">
        <f t="shared" si="45"/>
        <v>135.54</v>
      </c>
      <c r="F184" s="107">
        <f t="shared" si="46"/>
        <v>813.24</v>
      </c>
      <c r="G184" s="102"/>
      <c r="H184" s="20"/>
      <c r="I184" s="20"/>
      <c r="J184" s="108"/>
      <c r="K184" s="79"/>
      <c r="L184" s="79"/>
    </row>
    <row r="185" spans="1:12" s="4" customFormat="1" x14ac:dyDescent="0.25">
      <c r="A185" s="52" t="s">
        <v>774</v>
      </c>
      <c r="B185" s="53" t="s">
        <v>724</v>
      </c>
      <c r="C185" s="6" t="s">
        <v>718</v>
      </c>
      <c r="D185" s="84">
        <v>1936.3</v>
      </c>
      <c r="E185" s="107">
        <f t="shared" si="45"/>
        <v>387.26</v>
      </c>
      <c r="F185" s="107">
        <f t="shared" si="46"/>
        <v>2323.56</v>
      </c>
      <c r="G185" s="102"/>
      <c r="H185" s="20"/>
      <c r="I185" s="20"/>
      <c r="J185" s="108"/>
      <c r="K185" s="79"/>
      <c r="L185" s="79"/>
    </row>
    <row r="186" spans="1:12" s="4" customFormat="1" ht="30" x14ac:dyDescent="0.25">
      <c r="A186" s="52" t="s">
        <v>775</v>
      </c>
      <c r="B186" s="53" t="s">
        <v>725</v>
      </c>
      <c r="C186" s="6" t="s">
        <v>718</v>
      </c>
      <c r="D186" s="84">
        <v>1936.3</v>
      </c>
      <c r="E186" s="107">
        <f t="shared" si="45"/>
        <v>387.26</v>
      </c>
      <c r="F186" s="107">
        <f t="shared" si="46"/>
        <v>2323.56</v>
      </c>
      <c r="G186" s="102"/>
      <c r="H186" s="20"/>
      <c r="I186" s="20"/>
      <c r="J186" s="108"/>
      <c r="K186" s="79"/>
      <c r="L186" s="79"/>
    </row>
    <row r="187" spans="1:12" s="4" customFormat="1" ht="30" x14ac:dyDescent="0.25">
      <c r="A187" s="52" t="s">
        <v>776</v>
      </c>
      <c r="B187" s="53" t="s">
        <v>726</v>
      </c>
      <c r="C187" s="6" t="s">
        <v>718</v>
      </c>
      <c r="D187" s="84">
        <v>1936.3</v>
      </c>
      <c r="E187" s="107">
        <f t="shared" si="45"/>
        <v>387.26</v>
      </c>
      <c r="F187" s="107">
        <f t="shared" si="46"/>
        <v>2323.56</v>
      </c>
      <c r="G187" s="102"/>
      <c r="H187" s="20"/>
      <c r="I187" s="20"/>
      <c r="J187" s="108"/>
      <c r="K187" s="79"/>
      <c r="L187" s="79"/>
    </row>
    <row r="188" spans="1:12" s="4" customFormat="1" ht="30" x14ac:dyDescent="0.25">
      <c r="A188" s="52" t="s">
        <v>642</v>
      </c>
      <c r="B188" s="53" t="s">
        <v>727</v>
      </c>
      <c r="C188" s="6"/>
      <c r="D188" s="84"/>
      <c r="E188" s="18"/>
      <c r="F188" s="60"/>
      <c r="G188" s="102"/>
      <c r="H188" s="20"/>
      <c r="I188" s="20"/>
      <c r="J188" s="108"/>
      <c r="K188" s="79"/>
      <c r="L188" s="79"/>
    </row>
    <row r="189" spans="1:12" s="4" customFormat="1" x14ac:dyDescent="0.25">
      <c r="A189" s="52" t="s">
        <v>643</v>
      </c>
      <c r="B189" s="53" t="s">
        <v>654</v>
      </c>
      <c r="C189" s="6" t="s">
        <v>718</v>
      </c>
      <c r="D189" s="84">
        <v>9971.93</v>
      </c>
      <c r="E189" s="107">
        <f t="shared" ref="E189:E198" si="47">ROUND(D189*0.2,2)</f>
        <v>1994.39</v>
      </c>
      <c r="F189" s="107">
        <f t="shared" ref="F189:F198" si="48">D189+E189</f>
        <v>11966.32</v>
      </c>
      <c r="G189" s="102"/>
      <c r="H189" s="20"/>
      <c r="I189" s="20"/>
      <c r="J189" s="108"/>
      <c r="K189" s="79"/>
      <c r="L189" s="79"/>
    </row>
    <row r="190" spans="1:12" s="4" customFormat="1" x14ac:dyDescent="0.25">
      <c r="A190" s="52" t="s">
        <v>644</v>
      </c>
      <c r="B190" s="53" t="s">
        <v>657</v>
      </c>
      <c r="C190" s="6" t="s">
        <v>718</v>
      </c>
      <c r="D190" s="84">
        <v>5131.2</v>
      </c>
      <c r="E190" s="107">
        <f t="shared" si="47"/>
        <v>1026.24</v>
      </c>
      <c r="F190" s="107">
        <f t="shared" si="48"/>
        <v>6157.44</v>
      </c>
      <c r="G190" s="102"/>
      <c r="H190" s="20"/>
      <c r="I190" s="20"/>
      <c r="J190" s="108"/>
      <c r="K190" s="79"/>
      <c r="L190" s="79"/>
    </row>
    <row r="191" spans="1:12" s="4" customFormat="1" ht="30" x14ac:dyDescent="0.25">
      <c r="A191" s="52" t="s">
        <v>645</v>
      </c>
      <c r="B191" s="53" t="s">
        <v>719</v>
      </c>
      <c r="C191" s="6" t="s">
        <v>718</v>
      </c>
      <c r="D191" s="84">
        <v>1549.03</v>
      </c>
      <c r="E191" s="107">
        <f t="shared" si="47"/>
        <v>309.81</v>
      </c>
      <c r="F191" s="107">
        <f t="shared" si="48"/>
        <v>1858.84</v>
      </c>
      <c r="G191" s="102"/>
      <c r="H191" s="20"/>
      <c r="I191" s="20"/>
      <c r="J191" s="108"/>
      <c r="K191" s="79"/>
      <c r="L191" s="79"/>
    </row>
    <row r="192" spans="1:12" s="4" customFormat="1" ht="30" x14ac:dyDescent="0.25">
      <c r="A192" s="52" t="s">
        <v>646</v>
      </c>
      <c r="B192" s="53" t="s">
        <v>720</v>
      </c>
      <c r="C192" s="6" t="s">
        <v>718</v>
      </c>
      <c r="D192" s="84">
        <v>1549.03</v>
      </c>
      <c r="E192" s="107">
        <f t="shared" si="47"/>
        <v>309.81</v>
      </c>
      <c r="F192" s="107">
        <f t="shared" si="48"/>
        <v>1858.84</v>
      </c>
      <c r="G192" s="102"/>
      <c r="H192" s="20"/>
      <c r="I192" s="20"/>
      <c r="J192" s="108"/>
      <c r="K192" s="79"/>
      <c r="L192" s="79"/>
    </row>
    <row r="193" spans="1:12" s="4" customFormat="1" ht="30" x14ac:dyDescent="0.25">
      <c r="A193" s="52" t="s">
        <v>647</v>
      </c>
      <c r="B193" s="53" t="s">
        <v>721</v>
      </c>
      <c r="C193" s="6" t="s">
        <v>718</v>
      </c>
      <c r="D193" s="84">
        <v>1936.3</v>
      </c>
      <c r="E193" s="107">
        <f t="shared" si="47"/>
        <v>387.26</v>
      </c>
      <c r="F193" s="107">
        <f t="shared" si="48"/>
        <v>2323.56</v>
      </c>
      <c r="G193" s="102"/>
      <c r="H193" s="20"/>
      <c r="I193" s="20"/>
      <c r="J193" s="108"/>
      <c r="K193" s="79"/>
      <c r="L193" s="79"/>
    </row>
    <row r="194" spans="1:12" s="4" customFormat="1" ht="30" x14ac:dyDescent="0.25">
      <c r="A194" s="52" t="s">
        <v>648</v>
      </c>
      <c r="B194" s="53" t="s">
        <v>722</v>
      </c>
      <c r="C194" s="6" t="s">
        <v>718</v>
      </c>
      <c r="D194" s="84">
        <v>677.7</v>
      </c>
      <c r="E194" s="107">
        <f t="shared" si="47"/>
        <v>135.54</v>
      </c>
      <c r="F194" s="107">
        <f t="shared" si="48"/>
        <v>813.24</v>
      </c>
      <c r="G194" s="102"/>
      <c r="H194" s="20"/>
      <c r="I194" s="20"/>
      <c r="J194" s="108"/>
      <c r="K194" s="79"/>
      <c r="L194" s="79"/>
    </row>
    <row r="195" spans="1:12" s="4" customFormat="1" ht="30" x14ac:dyDescent="0.25">
      <c r="A195" s="52" t="s">
        <v>649</v>
      </c>
      <c r="B195" s="53" t="s">
        <v>723</v>
      </c>
      <c r="C195" s="6" t="s">
        <v>718</v>
      </c>
      <c r="D195" s="84">
        <v>677.7</v>
      </c>
      <c r="E195" s="107">
        <f t="shared" si="47"/>
        <v>135.54</v>
      </c>
      <c r="F195" s="107">
        <f t="shared" si="48"/>
        <v>813.24</v>
      </c>
      <c r="G195" s="102"/>
      <c r="H195" s="20"/>
      <c r="I195" s="20"/>
      <c r="J195" s="108"/>
      <c r="K195" s="79"/>
      <c r="L195" s="79"/>
    </row>
    <row r="196" spans="1:12" s="4" customFormat="1" x14ac:dyDescent="0.25">
      <c r="A196" s="52" t="s">
        <v>650</v>
      </c>
      <c r="B196" s="53" t="s">
        <v>724</v>
      </c>
      <c r="C196" s="6" t="s">
        <v>718</v>
      </c>
      <c r="D196" s="84">
        <v>2904.47</v>
      </c>
      <c r="E196" s="107">
        <f t="shared" si="47"/>
        <v>580.89</v>
      </c>
      <c r="F196" s="107">
        <f t="shared" si="48"/>
        <v>3485.3599999999997</v>
      </c>
      <c r="G196" s="102"/>
      <c r="H196" s="20"/>
      <c r="I196" s="20"/>
      <c r="J196" s="108"/>
      <c r="K196" s="79"/>
      <c r="L196" s="79"/>
    </row>
    <row r="197" spans="1:12" s="4" customFormat="1" ht="30" x14ac:dyDescent="0.25">
      <c r="A197" s="52" t="s">
        <v>651</v>
      </c>
      <c r="B197" s="53" t="s">
        <v>725</v>
      </c>
      <c r="C197" s="6" t="s">
        <v>718</v>
      </c>
      <c r="D197" s="84">
        <v>2904.47</v>
      </c>
      <c r="E197" s="107">
        <f t="shared" si="47"/>
        <v>580.89</v>
      </c>
      <c r="F197" s="107">
        <f t="shared" si="48"/>
        <v>3485.3599999999997</v>
      </c>
      <c r="G197" s="102"/>
      <c r="H197" s="20"/>
      <c r="I197" s="20"/>
      <c r="J197" s="108"/>
      <c r="K197" s="79"/>
      <c r="L197" s="79"/>
    </row>
    <row r="198" spans="1:12" s="4" customFormat="1" ht="30" x14ac:dyDescent="0.25">
      <c r="A198" s="52" t="s">
        <v>652</v>
      </c>
      <c r="B198" s="53" t="s">
        <v>726</v>
      </c>
      <c r="C198" s="6" t="s">
        <v>718</v>
      </c>
      <c r="D198" s="84">
        <v>2904.47</v>
      </c>
      <c r="E198" s="107">
        <f t="shared" si="47"/>
        <v>580.89</v>
      </c>
      <c r="F198" s="107">
        <f t="shared" si="48"/>
        <v>3485.3599999999997</v>
      </c>
      <c r="G198" s="102"/>
      <c r="H198" s="20"/>
      <c r="I198" s="20"/>
      <c r="J198" s="108"/>
      <c r="K198" s="79"/>
      <c r="L198" s="79"/>
    </row>
    <row r="199" spans="1:12" s="4" customFormat="1" x14ac:dyDescent="0.25">
      <c r="A199" s="52" t="s">
        <v>777</v>
      </c>
      <c r="B199" s="53" t="s">
        <v>1011</v>
      </c>
      <c r="C199" s="6"/>
      <c r="D199" s="84"/>
      <c r="E199" s="18"/>
      <c r="F199" s="60"/>
      <c r="G199" s="102"/>
      <c r="H199" s="20"/>
      <c r="I199" s="20"/>
      <c r="J199" s="108"/>
      <c r="K199" s="79"/>
      <c r="L199" s="79"/>
    </row>
    <row r="200" spans="1:12" s="4" customFormat="1" x14ac:dyDescent="0.25">
      <c r="A200" s="52" t="s">
        <v>778</v>
      </c>
      <c r="B200" s="53" t="s">
        <v>654</v>
      </c>
      <c r="C200" s="6" t="s">
        <v>728</v>
      </c>
      <c r="D200" s="84">
        <v>3046.75</v>
      </c>
      <c r="E200" s="107">
        <f t="shared" ref="E200:E202" si="49">ROUND(D200*0.2,2)</f>
        <v>609.35</v>
      </c>
      <c r="F200" s="107">
        <f t="shared" ref="F200:F208" si="50">D200+E200</f>
        <v>3656.1</v>
      </c>
      <c r="G200" s="102"/>
      <c r="H200" s="20"/>
      <c r="I200" s="20"/>
      <c r="J200" s="108"/>
      <c r="K200" s="79"/>
      <c r="L200" s="79"/>
    </row>
    <row r="201" spans="1:12" s="4" customFormat="1" ht="30" x14ac:dyDescent="0.25">
      <c r="A201" s="52" t="s">
        <v>779</v>
      </c>
      <c r="B201" s="53" t="s">
        <v>729</v>
      </c>
      <c r="C201" s="6" t="s">
        <v>728</v>
      </c>
      <c r="D201" s="84">
        <v>1344.16</v>
      </c>
      <c r="E201" s="107">
        <f t="shared" si="49"/>
        <v>268.83</v>
      </c>
      <c r="F201" s="107">
        <f t="shared" si="50"/>
        <v>1612.99</v>
      </c>
      <c r="G201" s="102"/>
      <c r="H201" s="20"/>
      <c r="I201" s="20"/>
      <c r="J201" s="108"/>
      <c r="K201" s="79"/>
      <c r="L201" s="79"/>
    </row>
    <row r="202" spans="1:12" s="4" customFormat="1" ht="30" x14ac:dyDescent="0.25">
      <c r="A202" s="52" t="s">
        <v>780</v>
      </c>
      <c r="B202" s="53" t="s">
        <v>730</v>
      </c>
      <c r="C202" s="6" t="s">
        <v>728</v>
      </c>
      <c r="D202" s="84">
        <v>1702.59</v>
      </c>
      <c r="E202" s="107">
        <f t="shared" si="49"/>
        <v>340.52</v>
      </c>
      <c r="F202" s="107">
        <f t="shared" si="50"/>
        <v>2043.11</v>
      </c>
      <c r="G202" s="102"/>
      <c r="H202" s="20"/>
      <c r="I202" s="20"/>
      <c r="J202" s="108"/>
      <c r="K202" s="79"/>
      <c r="L202" s="79"/>
    </row>
    <row r="203" spans="1:12" s="4" customFormat="1" ht="30" x14ac:dyDescent="0.25">
      <c r="A203" s="52" t="s">
        <v>781</v>
      </c>
      <c r="B203" s="53" t="s">
        <v>731</v>
      </c>
      <c r="C203" s="6"/>
      <c r="D203" s="84"/>
      <c r="E203" s="107"/>
      <c r="F203" s="107"/>
      <c r="G203" s="102"/>
      <c r="H203" s="20"/>
      <c r="I203" s="20"/>
      <c r="J203" s="108"/>
      <c r="K203" s="79"/>
      <c r="L203" s="79"/>
    </row>
    <row r="204" spans="1:12" s="4" customFormat="1" x14ac:dyDescent="0.25">
      <c r="A204" s="52" t="s">
        <v>782</v>
      </c>
      <c r="B204" s="53" t="s">
        <v>654</v>
      </c>
      <c r="C204" s="6" t="s">
        <v>732</v>
      </c>
      <c r="D204" s="84">
        <v>9614.84</v>
      </c>
      <c r="E204" s="107">
        <f t="shared" ref="E204:E208" si="51">ROUND(D204*0.2,2)</f>
        <v>1922.97</v>
      </c>
      <c r="F204" s="107">
        <f t="shared" si="50"/>
        <v>11537.81</v>
      </c>
      <c r="G204" s="102"/>
      <c r="H204" s="20"/>
      <c r="I204" s="20"/>
      <c r="J204" s="108"/>
      <c r="K204" s="79"/>
      <c r="L204" s="79"/>
    </row>
    <row r="205" spans="1:12" s="4" customFormat="1" x14ac:dyDescent="0.25">
      <c r="A205" s="52" t="s">
        <v>783</v>
      </c>
      <c r="B205" s="53" t="s">
        <v>692</v>
      </c>
      <c r="C205" s="6" t="s">
        <v>732</v>
      </c>
      <c r="D205" s="84">
        <v>1172.54</v>
      </c>
      <c r="E205" s="107">
        <f t="shared" si="51"/>
        <v>234.51</v>
      </c>
      <c r="F205" s="107">
        <f t="shared" si="50"/>
        <v>1407.05</v>
      </c>
      <c r="G205" s="102"/>
      <c r="H205" s="20"/>
      <c r="I205" s="20"/>
      <c r="J205" s="108"/>
      <c r="K205" s="79"/>
      <c r="L205" s="79"/>
    </row>
    <row r="206" spans="1:12" s="4" customFormat="1" ht="30" x14ac:dyDescent="0.25">
      <c r="A206" s="52" t="s">
        <v>784</v>
      </c>
      <c r="B206" s="53" t="s">
        <v>733</v>
      </c>
      <c r="C206" s="6" t="s">
        <v>732</v>
      </c>
      <c r="D206" s="84">
        <v>2579.59</v>
      </c>
      <c r="E206" s="107">
        <f t="shared" si="51"/>
        <v>515.91999999999996</v>
      </c>
      <c r="F206" s="107">
        <f t="shared" si="50"/>
        <v>3095.51</v>
      </c>
      <c r="G206" s="102"/>
      <c r="H206" s="20"/>
      <c r="I206" s="20"/>
      <c r="J206" s="108"/>
      <c r="K206" s="79"/>
      <c r="L206" s="79"/>
    </row>
    <row r="207" spans="1:12" s="4" customFormat="1" ht="30" x14ac:dyDescent="0.25">
      <c r="A207" s="52" t="s">
        <v>785</v>
      </c>
      <c r="B207" s="53" t="s">
        <v>734</v>
      </c>
      <c r="C207" s="6" t="s">
        <v>732</v>
      </c>
      <c r="D207" s="84">
        <v>2345.09</v>
      </c>
      <c r="E207" s="107">
        <f t="shared" si="51"/>
        <v>469.02</v>
      </c>
      <c r="F207" s="107">
        <f t="shared" si="50"/>
        <v>2814.11</v>
      </c>
      <c r="G207" s="102"/>
      <c r="H207" s="20"/>
      <c r="I207" s="20"/>
      <c r="J207" s="108"/>
      <c r="K207" s="79"/>
      <c r="L207" s="79"/>
    </row>
    <row r="208" spans="1:12" s="4" customFormat="1" x14ac:dyDescent="0.25">
      <c r="A208" s="52" t="s">
        <v>786</v>
      </c>
      <c r="B208" s="53" t="s">
        <v>735</v>
      </c>
      <c r="C208" s="6" t="s">
        <v>732</v>
      </c>
      <c r="D208" s="84">
        <v>3517.63</v>
      </c>
      <c r="E208" s="107">
        <f t="shared" si="51"/>
        <v>703.53</v>
      </c>
      <c r="F208" s="107">
        <f t="shared" si="50"/>
        <v>4221.16</v>
      </c>
      <c r="G208" s="102"/>
      <c r="H208" s="20"/>
      <c r="I208" s="20"/>
      <c r="J208" s="108"/>
      <c r="K208" s="79"/>
      <c r="L208" s="79"/>
    </row>
    <row r="209" spans="1:12" s="4" customFormat="1" x14ac:dyDescent="0.25">
      <c r="A209" s="52" t="s">
        <v>789</v>
      </c>
      <c r="B209" s="53" t="s">
        <v>736</v>
      </c>
      <c r="C209" s="6"/>
      <c r="D209" s="84"/>
      <c r="E209" s="18"/>
      <c r="F209" s="60"/>
      <c r="G209" s="102"/>
      <c r="H209" s="20"/>
      <c r="I209" s="20"/>
      <c r="J209" s="108"/>
      <c r="K209" s="79"/>
      <c r="L209" s="79"/>
    </row>
    <row r="210" spans="1:12" s="4" customFormat="1" ht="30" x14ac:dyDescent="0.25">
      <c r="A210" s="52" t="s">
        <v>790</v>
      </c>
      <c r="B210" s="53" t="s">
        <v>452</v>
      </c>
      <c r="C210" s="6" t="s">
        <v>11</v>
      </c>
      <c r="D210" s="84">
        <v>625.94000000000005</v>
      </c>
      <c r="E210" s="107">
        <f t="shared" ref="E210:E219" si="52">ROUND(D210*0.2,2)</f>
        <v>125.19</v>
      </c>
      <c r="F210" s="107">
        <f t="shared" ref="F210:F219" si="53">D210+E210</f>
        <v>751.13000000000011</v>
      </c>
      <c r="G210" s="102"/>
      <c r="H210" s="20"/>
      <c r="I210" s="20"/>
      <c r="J210" s="108"/>
      <c r="K210" s="79"/>
      <c r="L210" s="79"/>
    </row>
    <row r="211" spans="1:12" s="4" customFormat="1" x14ac:dyDescent="0.25">
      <c r="A211" s="52" t="s">
        <v>791</v>
      </c>
      <c r="B211" s="53" t="s">
        <v>233</v>
      </c>
      <c r="C211" s="6" t="s">
        <v>11</v>
      </c>
      <c r="D211" s="84">
        <v>944.81</v>
      </c>
      <c r="E211" s="107">
        <f t="shared" si="52"/>
        <v>188.96</v>
      </c>
      <c r="F211" s="107">
        <f t="shared" si="53"/>
        <v>1133.77</v>
      </c>
      <c r="G211" s="102"/>
      <c r="H211" s="20"/>
      <c r="I211" s="20"/>
      <c r="J211" s="108"/>
      <c r="K211" s="79"/>
      <c r="L211" s="79"/>
    </row>
    <row r="212" spans="1:12" s="4" customFormat="1" ht="30" x14ac:dyDescent="0.25">
      <c r="A212" s="52" t="s">
        <v>792</v>
      </c>
      <c r="B212" s="53" t="s">
        <v>234</v>
      </c>
      <c r="C212" s="6" t="s">
        <v>11</v>
      </c>
      <c r="D212" s="84">
        <v>3542.99</v>
      </c>
      <c r="E212" s="107">
        <f t="shared" si="52"/>
        <v>708.6</v>
      </c>
      <c r="F212" s="107">
        <f t="shared" si="53"/>
        <v>4251.59</v>
      </c>
      <c r="G212" s="102"/>
      <c r="H212" s="20"/>
      <c r="I212" s="20"/>
      <c r="J212" s="108"/>
      <c r="K212" s="79"/>
      <c r="L212" s="79"/>
    </row>
    <row r="213" spans="1:12" s="4" customFormat="1" x14ac:dyDescent="0.25">
      <c r="A213" s="52" t="s">
        <v>793</v>
      </c>
      <c r="B213" s="53" t="s">
        <v>235</v>
      </c>
      <c r="C213" s="6" t="s">
        <v>11</v>
      </c>
      <c r="D213" s="84">
        <v>885.75</v>
      </c>
      <c r="E213" s="107">
        <f t="shared" si="52"/>
        <v>177.15</v>
      </c>
      <c r="F213" s="107">
        <f t="shared" si="53"/>
        <v>1062.9000000000001</v>
      </c>
      <c r="G213" s="102"/>
      <c r="H213" s="20"/>
      <c r="I213" s="20"/>
      <c r="J213" s="108"/>
      <c r="K213" s="79"/>
      <c r="L213" s="79"/>
    </row>
    <row r="214" spans="1:12" s="4" customFormat="1" x14ac:dyDescent="0.25">
      <c r="A214" s="52" t="s">
        <v>794</v>
      </c>
      <c r="B214" s="53" t="s">
        <v>236</v>
      </c>
      <c r="C214" s="6" t="s">
        <v>11</v>
      </c>
      <c r="D214" s="84">
        <v>1003.85</v>
      </c>
      <c r="E214" s="107">
        <f t="shared" si="52"/>
        <v>200.77</v>
      </c>
      <c r="F214" s="107">
        <f t="shared" si="53"/>
        <v>1204.6200000000001</v>
      </c>
      <c r="G214" s="102"/>
      <c r="H214" s="20"/>
      <c r="I214" s="20"/>
      <c r="J214" s="108"/>
      <c r="K214" s="79"/>
      <c r="L214" s="79"/>
    </row>
    <row r="215" spans="1:12" s="4" customFormat="1" ht="30" x14ac:dyDescent="0.25">
      <c r="A215" s="52" t="s">
        <v>795</v>
      </c>
      <c r="B215" s="53" t="s">
        <v>237</v>
      </c>
      <c r="C215" s="6" t="s">
        <v>11</v>
      </c>
      <c r="D215" s="84">
        <v>472.39</v>
      </c>
      <c r="E215" s="107">
        <f t="shared" si="52"/>
        <v>94.48</v>
      </c>
      <c r="F215" s="107">
        <f t="shared" si="53"/>
        <v>566.87</v>
      </c>
      <c r="G215" s="102"/>
      <c r="H215" s="20"/>
      <c r="I215" s="20"/>
      <c r="J215" s="108"/>
      <c r="K215" s="79"/>
      <c r="L215" s="79"/>
    </row>
    <row r="216" spans="1:12" s="4" customFormat="1" x14ac:dyDescent="0.25">
      <c r="A216" s="52" t="s">
        <v>796</v>
      </c>
      <c r="B216" s="53" t="s">
        <v>238</v>
      </c>
      <c r="C216" s="6" t="s">
        <v>11</v>
      </c>
      <c r="D216" s="84">
        <v>472.39</v>
      </c>
      <c r="E216" s="107">
        <f t="shared" si="52"/>
        <v>94.48</v>
      </c>
      <c r="F216" s="107">
        <f t="shared" si="53"/>
        <v>566.87</v>
      </c>
      <c r="G216" s="102"/>
      <c r="H216" s="20"/>
      <c r="I216" s="20"/>
      <c r="J216" s="108"/>
      <c r="K216" s="79"/>
      <c r="L216" s="79"/>
    </row>
    <row r="217" spans="1:12" s="4" customFormat="1" x14ac:dyDescent="0.25">
      <c r="A217" s="52" t="s">
        <v>797</v>
      </c>
      <c r="B217" s="53" t="s">
        <v>239</v>
      </c>
      <c r="C217" s="6" t="s">
        <v>11</v>
      </c>
      <c r="D217" s="84">
        <v>472.39</v>
      </c>
      <c r="E217" s="107">
        <f t="shared" si="52"/>
        <v>94.48</v>
      </c>
      <c r="F217" s="107">
        <f t="shared" si="53"/>
        <v>566.87</v>
      </c>
      <c r="G217" s="102"/>
      <c r="H217" s="20"/>
      <c r="I217" s="20"/>
      <c r="J217" s="108"/>
      <c r="K217" s="79"/>
      <c r="L217" s="79"/>
    </row>
    <row r="218" spans="1:12" s="4" customFormat="1" x14ac:dyDescent="0.25">
      <c r="A218" s="52" t="s">
        <v>798</v>
      </c>
      <c r="B218" s="53" t="s">
        <v>240</v>
      </c>
      <c r="C218" s="6" t="s">
        <v>11</v>
      </c>
      <c r="D218" s="84">
        <v>944.81</v>
      </c>
      <c r="E218" s="107">
        <f t="shared" si="52"/>
        <v>188.96</v>
      </c>
      <c r="F218" s="107">
        <f t="shared" si="53"/>
        <v>1133.77</v>
      </c>
      <c r="G218" s="102"/>
      <c r="H218" s="20"/>
      <c r="I218" s="20"/>
      <c r="J218" s="108"/>
      <c r="K218" s="79"/>
      <c r="L218" s="79"/>
    </row>
    <row r="219" spans="1:12" s="4" customFormat="1" x14ac:dyDescent="0.25">
      <c r="A219" s="52" t="s">
        <v>799</v>
      </c>
      <c r="B219" s="53" t="s">
        <v>241</v>
      </c>
      <c r="C219" s="7" t="s">
        <v>11</v>
      </c>
      <c r="D219" s="84">
        <v>531.46</v>
      </c>
      <c r="E219" s="107">
        <f t="shared" si="52"/>
        <v>106.29</v>
      </c>
      <c r="F219" s="107">
        <f t="shared" si="53"/>
        <v>637.75</v>
      </c>
      <c r="G219" s="102"/>
      <c r="H219" s="20"/>
      <c r="I219" s="20"/>
      <c r="J219" s="108"/>
      <c r="K219" s="79"/>
      <c r="L219" s="79"/>
    </row>
    <row r="220" spans="1:12" ht="35.25" customHeight="1" x14ac:dyDescent="0.25">
      <c r="A220" s="46" t="s">
        <v>14</v>
      </c>
      <c r="B220" s="21" t="s">
        <v>85</v>
      </c>
      <c r="C220" s="146" t="s">
        <v>299</v>
      </c>
      <c r="D220" s="147"/>
      <c r="E220" s="147"/>
      <c r="F220" s="148"/>
      <c r="G220" s="102"/>
      <c r="H220" s="20"/>
      <c r="I220" s="4"/>
      <c r="J220" s="79"/>
      <c r="K220" s="79"/>
      <c r="L220" s="79"/>
    </row>
    <row r="221" spans="1:12" ht="15.75" customHeight="1" x14ac:dyDescent="0.25">
      <c r="A221" s="56" t="s">
        <v>300</v>
      </c>
      <c r="B221" s="134" t="s">
        <v>286</v>
      </c>
      <c r="C221" s="134"/>
      <c r="D221" s="134"/>
      <c r="E221" s="134"/>
      <c r="F221" s="134"/>
      <c r="G221" s="102"/>
      <c r="H221" s="20"/>
      <c r="I221" s="4"/>
      <c r="J221" s="79"/>
      <c r="K221" s="79"/>
      <c r="L221" s="79"/>
    </row>
    <row r="222" spans="1:12" x14ac:dyDescent="0.25">
      <c r="A222" s="56" t="s">
        <v>301</v>
      </c>
      <c r="B222" s="53" t="s">
        <v>443</v>
      </c>
      <c r="C222" s="7" t="s">
        <v>287</v>
      </c>
      <c r="D222" s="84">
        <v>6037.46</v>
      </c>
      <c r="E222" s="5">
        <f t="shared" ref="E222:E230" si="54">ROUND(D222*0.2,2)</f>
        <v>1207.49</v>
      </c>
      <c r="F222" s="83">
        <f t="shared" ref="F222:F230" si="55">D222+E222</f>
        <v>7244.95</v>
      </c>
      <c r="G222" s="102"/>
      <c r="H222" s="20"/>
      <c r="I222" s="20"/>
      <c r="J222" s="108"/>
      <c r="K222" s="79"/>
      <c r="L222" s="79"/>
    </row>
    <row r="223" spans="1:12" x14ac:dyDescent="0.25">
      <c r="A223" s="56" t="s">
        <v>302</v>
      </c>
      <c r="B223" s="55" t="s">
        <v>444</v>
      </c>
      <c r="C223" s="7" t="s">
        <v>287</v>
      </c>
      <c r="D223" s="84">
        <v>8042.92</v>
      </c>
      <c r="E223" s="5">
        <f t="shared" si="54"/>
        <v>1608.58</v>
      </c>
      <c r="F223" s="83">
        <f t="shared" si="55"/>
        <v>9651.5</v>
      </c>
      <c r="G223" s="102"/>
      <c r="H223" s="20"/>
      <c r="I223" s="20"/>
      <c r="J223" s="108"/>
      <c r="K223" s="79"/>
      <c r="L223" s="79"/>
    </row>
    <row r="224" spans="1:12" x14ac:dyDescent="0.25">
      <c r="A224" s="56" t="s">
        <v>303</v>
      </c>
      <c r="B224" s="55" t="s">
        <v>445</v>
      </c>
      <c r="C224" s="7" t="s">
        <v>287</v>
      </c>
      <c r="D224" s="84">
        <v>2283.81</v>
      </c>
      <c r="E224" s="5">
        <f t="shared" si="54"/>
        <v>456.76</v>
      </c>
      <c r="F224" s="83">
        <f t="shared" si="55"/>
        <v>2740.5699999999997</v>
      </c>
      <c r="G224" s="102"/>
      <c r="H224" s="20"/>
      <c r="I224" s="20"/>
      <c r="J224" s="108"/>
      <c r="K224" s="79"/>
      <c r="L224" s="79"/>
    </row>
    <row r="225" spans="1:12" x14ac:dyDescent="0.25">
      <c r="A225" s="56" t="s">
        <v>304</v>
      </c>
      <c r="B225" s="57" t="s">
        <v>446</v>
      </c>
      <c r="C225" s="7" t="s">
        <v>287</v>
      </c>
      <c r="D225" s="84">
        <v>1032.4000000000001</v>
      </c>
      <c r="E225" s="5">
        <f t="shared" si="54"/>
        <v>206.48</v>
      </c>
      <c r="F225" s="83">
        <f t="shared" si="55"/>
        <v>1238.8800000000001</v>
      </c>
      <c r="G225" s="102"/>
      <c r="H225" s="20"/>
      <c r="I225" s="20"/>
      <c r="J225" s="108"/>
      <c r="K225" s="79"/>
      <c r="L225" s="79"/>
    </row>
    <row r="226" spans="1:12" x14ac:dyDescent="0.25">
      <c r="A226" s="56" t="s">
        <v>305</v>
      </c>
      <c r="B226" s="55" t="s">
        <v>447</v>
      </c>
      <c r="C226" s="7" t="s">
        <v>287</v>
      </c>
      <c r="D226" s="84">
        <v>323.91000000000003</v>
      </c>
      <c r="E226" s="5">
        <f t="shared" si="54"/>
        <v>64.78</v>
      </c>
      <c r="F226" s="83">
        <f t="shared" si="55"/>
        <v>388.69000000000005</v>
      </c>
      <c r="G226" s="102"/>
      <c r="H226" s="20"/>
      <c r="I226" s="20"/>
      <c r="J226" s="108"/>
      <c r="K226" s="79"/>
      <c r="L226" s="79"/>
    </row>
    <row r="227" spans="1:12" x14ac:dyDescent="0.25">
      <c r="A227" s="56" t="s">
        <v>306</v>
      </c>
      <c r="B227" s="55" t="s">
        <v>448</v>
      </c>
      <c r="C227" s="7" t="s">
        <v>287</v>
      </c>
      <c r="D227" s="84">
        <v>2064.79</v>
      </c>
      <c r="E227" s="5">
        <f t="shared" si="54"/>
        <v>412.96</v>
      </c>
      <c r="F227" s="83">
        <f t="shared" si="55"/>
        <v>2477.75</v>
      </c>
      <c r="G227" s="102"/>
      <c r="H227" s="20"/>
      <c r="I227" s="20"/>
      <c r="J227" s="108"/>
      <c r="K227" s="79"/>
      <c r="L227" s="79"/>
    </row>
    <row r="228" spans="1:12" x14ac:dyDescent="0.25">
      <c r="A228" s="56" t="s">
        <v>307</v>
      </c>
      <c r="B228" s="55" t="s">
        <v>449</v>
      </c>
      <c r="C228" s="7" t="s">
        <v>287</v>
      </c>
      <c r="D228" s="84">
        <v>2064.79</v>
      </c>
      <c r="E228" s="5">
        <f t="shared" si="54"/>
        <v>412.96</v>
      </c>
      <c r="F228" s="83">
        <f t="shared" si="55"/>
        <v>2477.75</v>
      </c>
      <c r="G228" s="102"/>
      <c r="H228" s="20"/>
      <c r="I228" s="20"/>
      <c r="J228" s="108"/>
      <c r="K228" s="79"/>
      <c r="L228" s="79"/>
    </row>
    <row r="229" spans="1:12" x14ac:dyDescent="0.25">
      <c r="A229" s="56" t="s">
        <v>308</v>
      </c>
      <c r="B229" s="55" t="s">
        <v>450</v>
      </c>
      <c r="C229" s="7" t="s">
        <v>287</v>
      </c>
      <c r="D229" s="84">
        <v>1032.4000000000001</v>
      </c>
      <c r="E229" s="5">
        <f t="shared" si="54"/>
        <v>206.48</v>
      </c>
      <c r="F229" s="83">
        <f t="shared" si="55"/>
        <v>1238.8800000000001</v>
      </c>
      <c r="G229" s="102"/>
      <c r="H229" s="20"/>
      <c r="I229" s="20"/>
      <c r="J229" s="108"/>
      <c r="K229" s="79"/>
      <c r="L229" s="79"/>
    </row>
    <row r="230" spans="1:12" x14ac:dyDescent="0.25">
      <c r="A230" s="56" t="s">
        <v>309</v>
      </c>
      <c r="B230" s="55" t="s">
        <v>451</v>
      </c>
      <c r="C230" s="7" t="s">
        <v>287</v>
      </c>
      <c r="D230" s="84">
        <v>33552.620000000003</v>
      </c>
      <c r="E230" s="5">
        <f t="shared" si="54"/>
        <v>6710.52</v>
      </c>
      <c r="F230" s="83">
        <f t="shared" si="55"/>
        <v>40263.14</v>
      </c>
      <c r="G230" s="102"/>
      <c r="H230" s="20"/>
      <c r="I230" s="20"/>
      <c r="J230" s="108"/>
      <c r="K230" s="79"/>
      <c r="L230" s="79"/>
    </row>
    <row r="231" spans="1:12" x14ac:dyDescent="0.25">
      <c r="A231" s="56" t="s">
        <v>495</v>
      </c>
      <c r="B231" s="58" t="s">
        <v>1032</v>
      </c>
      <c r="C231" s="7" t="s">
        <v>287</v>
      </c>
      <c r="D231" s="84">
        <v>1091.75</v>
      </c>
      <c r="E231" s="5">
        <f t="shared" ref="E231" si="56">ROUND(D231*0.2,2)</f>
        <v>218.35</v>
      </c>
      <c r="F231" s="83">
        <f t="shared" ref="F231" si="57">D231+E231</f>
        <v>1310.0999999999999</v>
      </c>
      <c r="G231" s="102"/>
      <c r="H231" s="20"/>
      <c r="I231" s="20"/>
      <c r="J231" s="108"/>
      <c r="K231" s="79"/>
      <c r="L231" s="79"/>
    </row>
    <row r="232" spans="1:12" ht="35.25" customHeight="1" x14ac:dyDescent="0.25">
      <c r="A232" s="56" t="s">
        <v>823</v>
      </c>
      <c r="B232" s="48" t="s">
        <v>883</v>
      </c>
      <c r="C232" s="78"/>
      <c r="D232" s="87"/>
      <c r="E232" s="87"/>
      <c r="F232" s="88"/>
      <c r="G232" s="102"/>
      <c r="H232" s="20"/>
      <c r="I232" s="4"/>
      <c r="J232" s="79"/>
      <c r="K232" s="79"/>
      <c r="L232" s="79"/>
    </row>
    <row r="233" spans="1:12" x14ac:dyDescent="0.25">
      <c r="A233" s="56" t="s">
        <v>846</v>
      </c>
      <c r="B233" s="55" t="s">
        <v>824</v>
      </c>
      <c r="C233" s="7"/>
      <c r="D233" s="84"/>
      <c r="E233" s="5"/>
      <c r="F233" s="83"/>
      <c r="G233" s="102"/>
      <c r="H233" s="20"/>
      <c r="I233" s="4"/>
      <c r="J233" s="79"/>
      <c r="K233" s="79"/>
      <c r="L233" s="79"/>
    </row>
    <row r="234" spans="1:12" x14ac:dyDescent="0.25">
      <c r="A234" s="56" t="s">
        <v>849</v>
      </c>
      <c r="B234" s="55" t="s">
        <v>654</v>
      </c>
      <c r="C234" s="7" t="s">
        <v>825</v>
      </c>
      <c r="D234" s="84">
        <v>4241.9799999999996</v>
      </c>
      <c r="E234" s="5">
        <f t="shared" ref="E234:E235" si="58">ROUND(D234*0.2,2)</f>
        <v>848.4</v>
      </c>
      <c r="F234" s="83">
        <f t="shared" ref="F234:F235" si="59">D234+E234</f>
        <v>5090.3799999999992</v>
      </c>
      <c r="G234" s="102"/>
      <c r="H234" s="20"/>
      <c r="I234" s="20"/>
      <c r="J234" s="108"/>
      <c r="K234" s="79"/>
      <c r="L234" s="79"/>
    </row>
    <row r="235" spans="1:12" x14ac:dyDescent="0.25">
      <c r="A235" s="56" t="s">
        <v>850</v>
      </c>
      <c r="B235" s="55" t="s">
        <v>656</v>
      </c>
      <c r="C235" s="7" t="s">
        <v>825</v>
      </c>
      <c r="D235" s="84">
        <v>4241.9799999999996</v>
      </c>
      <c r="E235" s="5">
        <f t="shared" si="58"/>
        <v>848.4</v>
      </c>
      <c r="F235" s="83">
        <f t="shared" si="59"/>
        <v>5090.3799999999992</v>
      </c>
      <c r="G235" s="102"/>
      <c r="H235" s="20"/>
      <c r="I235" s="20"/>
      <c r="J235" s="108"/>
      <c r="K235" s="79"/>
      <c r="L235" s="79"/>
    </row>
    <row r="236" spans="1:12" ht="35.25" customHeight="1" x14ac:dyDescent="0.25">
      <c r="A236" s="56" t="s">
        <v>847</v>
      </c>
      <c r="B236" s="48" t="s">
        <v>826</v>
      </c>
      <c r="C236" s="78"/>
      <c r="D236" s="98"/>
      <c r="E236" s="98"/>
      <c r="F236" s="99"/>
      <c r="G236" s="102"/>
      <c r="H236" s="20"/>
      <c r="I236" s="20"/>
      <c r="J236" s="108"/>
      <c r="K236" s="79"/>
      <c r="L236" s="79"/>
    </row>
    <row r="237" spans="1:12" x14ac:dyDescent="0.25">
      <c r="A237" s="56" t="s">
        <v>851</v>
      </c>
      <c r="B237" s="55" t="s">
        <v>827</v>
      </c>
      <c r="C237" s="7" t="s">
        <v>825</v>
      </c>
      <c r="D237" s="84">
        <v>9536.01</v>
      </c>
      <c r="E237" s="5">
        <f t="shared" ref="E237:E246" si="60">ROUND(D237*0.2,2)</f>
        <v>1907.2</v>
      </c>
      <c r="F237" s="83">
        <f t="shared" ref="F237:F246" si="61">D237+E237</f>
        <v>11443.210000000001</v>
      </c>
      <c r="G237" s="102"/>
      <c r="H237" s="20"/>
      <c r="I237" s="20"/>
      <c r="J237" s="108"/>
      <c r="K237" s="79"/>
      <c r="L237" s="79"/>
    </row>
    <row r="238" spans="1:12" x14ac:dyDescent="0.25">
      <c r="A238" s="56" t="s">
        <v>852</v>
      </c>
      <c r="B238" s="55" t="s">
        <v>828</v>
      </c>
      <c r="C238" s="7" t="s">
        <v>825</v>
      </c>
      <c r="D238" s="84">
        <v>9536.01</v>
      </c>
      <c r="E238" s="5">
        <f t="shared" si="60"/>
        <v>1907.2</v>
      </c>
      <c r="F238" s="83">
        <f t="shared" si="61"/>
        <v>11443.210000000001</v>
      </c>
      <c r="G238" s="102"/>
      <c r="H238" s="20"/>
      <c r="I238" s="20"/>
      <c r="J238" s="108"/>
      <c r="K238" s="79"/>
      <c r="L238" s="79"/>
    </row>
    <row r="239" spans="1:12" x14ac:dyDescent="0.25">
      <c r="A239" s="56" t="s">
        <v>853</v>
      </c>
      <c r="B239" s="55" t="s">
        <v>829</v>
      </c>
      <c r="C239" s="7" t="s">
        <v>825</v>
      </c>
      <c r="D239" s="84">
        <v>2664.37</v>
      </c>
      <c r="E239" s="5">
        <f t="shared" si="60"/>
        <v>532.87</v>
      </c>
      <c r="F239" s="83">
        <f t="shared" si="61"/>
        <v>3197.24</v>
      </c>
      <c r="G239" s="102"/>
      <c r="H239" s="20"/>
      <c r="I239" s="20"/>
      <c r="J239" s="108"/>
      <c r="K239" s="79"/>
      <c r="L239" s="79"/>
    </row>
    <row r="240" spans="1:12" x14ac:dyDescent="0.25">
      <c r="A240" s="56" t="s">
        <v>854</v>
      </c>
      <c r="B240" s="55" t="s">
        <v>830</v>
      </c>
      <c r="C240" s="7" t="s">
        <v>825</v>
      </c>
      <c r="D240" s="84">
        <v>2664.37</v>
      </c>
      <c r="E240" s="5">
        <f t="shared" si="60"/>
        <v>532.87</v>
      </c>
      <c r="F240" s="83">
        <f t="shared" si="61"/>
        <v>3197.24</v>
      </c>
      <c r="G240" s="102"/>
      <c r="H240" s="20"/>
      <c r="I240" s="20"/>
      <c r="J240" s="108"/>
      <c r="K240" s="79"/>
      <c r="L240" s="79"/>
    </row>
    <row r="241" spans="1:12" x14ac:dyDescent="0.25">
      <c r="A241" s="56" t="s">
        <v>855</v>
      </c>
      <c r="B241" s="55" t="s">
        <v>713</v>
      </c>
      <c r="C241" s="7" t="s">
        <v>825</v>
      </c>
      <c r="D241" s="84">
        <v>1010.01</v>
      </c>
      <c r="E241" s="5">
        <f t="shared" si="60"/>
        <v>202</v>
      </c>
      <c r="F241" s="83">
        <f t="shared" si="61"/>
        <v>1212.01</v>
      </c>
      <c r="G241" s="102"/>
      <c r="H241" s="20"/>
      <c r="I241" s="20"/>
      <c r="J241" s="108"/>
      <c r="K241" s="79"/>
      <c r="L241" s="79"/>
    </row>
    <row r="242" spans="1:12" x14ac:dyDescent="0.25">
      <c r="A242" s="56" t="s">
        <v>856</v>
      </c>
      <c r="B242" s="55" t="s">
        <v>831</v>
      </c>
      <c r="C242" s="7" t="s">
        <v>825</v>
      </c>
      <c r="D242" s="84">
        <v>1010.01</v>
      </c>
      <c r="E242" s="5">
        <f t="shared" si="60"/>
        <v>202</v>
      </c>
      <c r="F242" s="83">
        <f t="shared" si="61"/>
        <v>1212.01</v>
      </c>
      <c r="G242" s="102"/>
      <c r="H242" s="20"/>
      <c r="I242" s="20"/>
      <c r="J242" s="108"/>
      <c r="K242" s="79"/>
      <c r="L242" s="79"/>
    </row>
    <row r="243" spans="1:12" x14ac:dyDescent="0.25">
      <c r="A243" s="56" t="s">
        <v>857</v>
      </c>
      <c r="B243" s="55" t="s">
        <v>832</v>
      </c>
      <c r="C243" s="7" t="s">
        <v>825</v>
      </c>
      <c r="D243" s="84">
        <v>3197.27</v>
      </c>
      <c r="E243" s="5">
        <f t="shared" si="60"/>
        <v>639.45000000000005</v>
      </c>
      <c r="F243" s="83">
        <f t="shared" si="61"/>
        <v>3836.7200000000003</v>
      </c>
      <c r="G243" s="102"/>
      <c r="H243" s="20"/>
      <c r="I243" s="20"/>
      <c r="J243" s="108"/>
      <c r="K243" s="79"/>
      <c r="L243" s="79"/>
    </row>
    <row r="244" spans="1:12" x14ac:dyDescent="0.25">
      <c r="A244" s="56" t="s">
        <v>858</v>
      </c>
      <c r="B244" s="55" t="s">
        <v>833</v>
      </c>
      <c r="C244" s="7" t="s">
        <v>825</v>
      </c>
      <c r="D244" s="84">
        <v>3197.27</v>
      </c>
      <c r="E244" s="5">
        <f t="shared" si="60"/>
        <v>639.45000000000005</v>
      </c>
      <c r="F244" s="83">
        <f t="shared" si="61"/>
        <v>3836.7200000000003</v>
      </c>
      <c r="G244" s="102"/>
      <c r="H244" s="20"/>
      <c r="I244" s="20"/>
      <c r="J244" s="108"/>
      <c r="K244" s="79"/>
      <c r="L244" s="79"/>
    </row>
    <row r="245" spans="1:12" x14ac:dyDescent="0.25">
      <c r="A245" s="56" t="s">
        <v>859</v>
      </c>
      <c r="B245" s="55" t="s">
        <v>834</v>
      </c>
      <c r="C245" s="7" t="s">
        <v>825</v>
      </c>
      <c r="D245" s="84">
        <v>2664.37</v>
      </c>
      <c r="E245" s="5">
        <f t="shared" si="60"/>
        <v>532.87</v>
      </c>
      <c r="F245" s="83">
        <f t="shared" si="61"/>
        <v>3197.24</v>
      </c>
      <c r="G245" s="102"/>
      <c r="H245" s="20"/>
      <c r="I245" s="20"/>
      <c r="J245" s="108"/>
      <c r="K245" s="79"/>
      <c r="L245" s="79"/>
    </row>
    <row r="246" spans="1:12" x14ac:dyDescent="0.25">
      <c r="A246" s="56" t="s">
        <v>860</v>
      </c>
      <c r="B246" s="55" t="s">
        <v>835</v>
      </c>
      <c r="C246" s="7" t="s">
        <v>825</v>
      </c>
      <c r="D246" s="84">
        <v>2664.37</v>
      </c>
      <c r="E246" s="5">
        <f t="shared" si="60"/>
        <v>532.87</v>
      </c>
      <c r="F246" s="83">
        <f t="shared" si="61"/>
        <v>3197.24</v>
      </c>
      <c r="G246" s="102"/>
      <c r="H246" s="20"/>
      <c r="I246" s="20"/>
      <c r="J246" s="108"/>
      <c r="K246" s="79"/>
      <c r="L246" s="79"/>
    </row>
    <row r="247" spans="1:12" x14ac:dyDescent="0.25">
      <c r="A247" s="56" t="s">
        <v>848</v>
      </c>
      <c r="B247" s="55" t="s">
        <v>836</v>
      </c>
      <c r="C247" s="7"/>
      <c r="D247" s="84"/>
      <c r="E247" s="5"/>
      <c r="F247" s="83"/>
      <c r="G247" s="102"/>
      <c r="H247" s="20"/>
      <c r="I247" s="20"/>
      <c r="J247" s="108"/>
      <c r="K247" s="79"/>
      <c r="L247" s="79"/>
    </row>
    <row r="248" spans="1:12" x14ac:dyDescent="0.25">
      <c r="A248" s="56" t="s">
        <v>861</v>
      </c>
      <c r="B248" s="55" t="s">
        <v>837</v>
      </c>
      <c r="C248" s="7" t="s">
        <v>825</v>
      </c>
      <c r="D248" s="84">
        <v>13372.46</v>
      </c>
      <c r="E248" s="5">
        <f t="shared" ref="E248:E257" si="62">ROUND(D248*0.2,2)</f>
        <v>2674.49</v>
      </c>
      <c r="F248" s="83">
        <f t="shared" ref="F248:F257" si="63">D248+E248</f>
        <v>16046.949999999999</v>
      </c>
      <c r="G248" s="102"/>
      <c r="H248" s="20"/>
      <c r="I248" s="20"/>
      <c r="J248" s="108"/>
      <c r="K248" s="79"/>
      <c r="L248" s="79"/>
    </row>
    <row r="249" spans="1:12" x14ac:dyDescent="0.25">
      <c r="A249" s="56" t="s">
        <v>862</v>
      </c>
      <c r="B249" s="55" t="s">
        <v>838</v>
      </c>
      <c r="C249" s="7" t="s">
        <v>825</v>
      </c>
      <c r="D249" s="84">
        <v>13372.46</v>
      </c>
      <c r="E249" s="5">
        <f t="shared" si="62"/>
        <v>2674.49</v>
      </c>
      <c r="F249" s="83">
        <f t="shared" si="63"/>
        <v>16046.949999999999</v>
      </c>
      <c r="G249" s="102"/>
      <c r="H249" s="20"/>
      <c r="I249" s="20"/>
      <c r="J249" s="108"/>
      <c r="K249" s="79"/>
      <c r="L249" s="79"/>
    </row>
    <row r="250" spans="1:12" x14ac:dyDescent="0.25">
      <c r="A250" s="56" t="s">
        <v>863</v>
      </c>
      <c r="B250" s="55" t="s">
        <v>829</v>
      </c>
      <c r="C250" s="7" t="s">
        <v>825</v>
      </c>
      <c r="D250" s="84">
        <v>3197.27</v>
      </c>
      <c r="E250" s="5">
        <f t="shared" si="62"/>
        <v>639.45000000000005</v>
      </c>
      <c r="F250" s="83">
        <f t="shared" si="63"/>
        <v>3836.7200000000003</v>
      </c>
      <c r="G250" s="102"/>
      <c r="H250" s="20"/>
      <c r="I250" s="20"/>
      <c r="J250" s="108"/>
      <c r="K250" s="79"/>
      <c r="L250" s="79"/>
    </row>
    <row r="251" spans="1:12" x14ac:dyDescent="0.25">
      <c r="A251" s="56" t="s">
        <v>864</v>
      </c>
      <c r="B251" s="55" t="s">
        <v>830</v>
      </c>
      <c r="C251" s="7" t="s">
        <v>825</v>
      </c>
      <c r="D251" s="84">
        <v>3197.27</v>
      </c>
      <c r="E251" s="5">
        <f t="shared" si="62"/>
        <v>639.45000000000005</v>
      </c>
      <c r="F251" s="83">
        <f t="shared" si="63"/>
        <v>3836.7200000000003</v>
      </c>
      <c r="G251" s="102"/>
      <c r="H251" s="20"/>
      <c r="I251" s="20"/>
      <c r="J251" s="108"/>
      <c r="K251" s="79"/>
      <c r="L251" s="79"/>
    </row>
    <row r="252" spans="1:12" x14ac:dyDescent="0.25">
      <c r="A252" s="56" t="s">
        <v>865</v>
      </c>
      <c r="B252" s="55" t="s">
        <v>713</v>
      </c>
      <c r="C252" s="7" t="s">
        <v>825</v>
      </c>
      <c r="D252" s="84">
        <v>1116.3</v>
      </c>
      <c r="E252" s="5">
        <f t="shared" si="62"/>
        <v>223.26</v>
      </c>
      <c r="F252" s="83">
        <f t="shared" si="63"/>
        <v>1339.56</v>
      </c>
      <c r="G252" s="102"/>
      <c r="H252" s="20"/>
      <c r="I252" s="20"/>
      <c r="J252" s="108"/>
      <c r="K252" s="79"/>
      <c r="L252" s="79"/>
    </row>
    <row r="253" spans="1:12" x14ac:dyDescent="0.25">
      <c r="A253" s="56" t="s">
        <v>866</v>
      </c>
      <c r="B253" s="55" t="s">
        <v>831</v>
      </c>
      <c r="C253" s="7" t="s">
        <v>825</v>
      </c>
      <c r="D253" s="84">
        <v>1116.3</v>
      </c>
      <c r="E253" s="5">
        <f t="shared" si="62"/>
        <v>223.26</v>
      </c>
      <c r="F253" s="83">
        <f t="shared" si="63"/>
        <v>1339.56</v>
      </c>
      <c r="G253" s="102"/>
      <c r="H253" s="20"/>
      <c r="I253" s="20"/>
      <c r="J253" s="108"/>
      <c r="K253" s="79"/>
      <c r="L253" s="79"/>
    </row>
    <row r="254" spans="1:12" x14ac:dyDescent="0.25">
      <c r="A254" s="56" t="s">
        <v>867</v>
      </c>
      <c r="B254" s="55" t="s">
        <v>832</v>
      </c>
      <c r="C254" s="7" t="s">
        <v>825</v>
      </c>
      <c r="D254" s="84">
        <v>5089.76</v>
      </c>
      <c r="E254" s="5">
        <f t="shared" si="62"/>
        <v>1017.95</v>
      </c>
      <c r="F254" s="83">
        <f t="shared" si="63"/>
        <v>6107.71</v>
      </c>
      <c r="G254" s="102"/>
      <c r="H254" s="20"/>
      <c r="I254" s="20"/>
      <c r="J254" s="108"/>
      <c r="K254" s="79"/>
      <c r="L254" s="79"/>
    </row>
    <row r="255" spans="1:12" x14ac:dyDescent="0.25">
      <c r="A255" s="56" t="s">
        <v>868</v>
      </c>
      <c r="B255" s="55" t="s">
        <v>833</v>
      </c>
      <c r="C255" s="7" t="s">
        <v>825</v>
      </c>
      <c r="D255" s="84">
        <v>5089.76</v>
      </c>
      <c r="E255" s="5">
        <f t="shared" si="62"/>
        <v>1017.95</v>
      </c>
      <c r="F255" s="83">
        <f t="shared" si="63"/>
        <v>6107.71</v>
      </c>
      <c r="G255" s="102"/>
      <c r="H255" s="20"/>
      <c r="I255" s="20"/>
      <c r="J255" s="108"/>
      <c r="K255" s="79"/>
      <c r="L255" s="79"/>
    </row>
    <row r="256" spans="1:12" x14ac:dyDescent="0.25">
      <c r="A256" s="56" t="s">
        <v>869</v>
      </c>
      <c r="B256" s="55" t="s">
        <v>834</v>
      </c>
      <c r="C256" s="7" t="s">
        <v>825</v>
      </c>
      <c r="D256" s="84">
        <v>4024</v>
      </c>
      <c r="E256" s="5">
        <f t="shared" si="62"/>
        <v>804.8</v>
      </c>
      <c r="F256" s="83">
        <f t="shared" si="63"/>
        <v>4828.8</v>
      </c>
      <c r="G256" s="102"/>
      <c r="H256" s="20"/>
      <c r="I256" s="20"/>
      <c r="J256" s="108"/>
      <c r="K256" s="79"/>
      <c r="L256" s="79"/>
    </row>
    <row r="257" spans="1:12" x14ac:dyDescent="0.25">
      <c r="A257" s="56" t="s">
        <v>870</v>
      </c>
      <c r="B257" s="55" t="s">
        <v>835</v>
      </c>
      <c r="C257" s="7" t="s">
        <v>825</v>
      </c>
      <c r="D257" s="84">
        <v>4024</v>
      </c>
      <c r="E257" s="5">
        <f t="shared" si="62"/>
        <v>804.8</v>
      </c>
      <c r="F257" s="83">
        <f t="shared" si="63"/>
        <v>4828.8</v>
      </c>
      <c r="G257" s="102"/>
      <c r="H257" s="20"/>
      <c r="I257" s="20"/>
      <c r="J257" s="108"/>
      <c r="K257" s="79"/>
      <c r="L257" s="79"/>
    </row>
    <row r="258" spans="1:12" ht="35.25" customHeight="1" x14ac:dyDescent="0.25">
      <c r="A258" s="56" t="s">
        <v>871</v>
      </c>
      <c r="B258" s="48" t="s">
        <v>839</v>
      </c>
      <c r="C258" s="78"/>
      <c r="D258" s="98"/>
      <c r="E258" s="98"/>
      <c r="F258" s="99"/>
      <c r="G258" s="102"/>
      <c r="H258" s="20"/>
      <c r="I258" s="20"/>
      <c r="J258" s="108"/>
      <c r="K258" s="79"/>
      <c r="L258" s="79"/>
    </row>
    <row r="259" spans="1:12" ht="30" x14ac:dyDescent="0.25">
      <c r="A259" s="56" t="s">
        <v>872</v>
      </c>
      <c r="B259" s="55" t="s">
        <v>840</v>
      </c>
      <c r="C259" s="7" t="s">
        <v>841</v>
      </c>
      <c r="D259" s="84">
        <v>9174.76</v>
      </c>
      <c r="E259" s="5">
        <f t="shared" ref="E259:E269" si="64">ROUND(D259*0.2,2)</f>
        <v>1834.95</v>
      </c>
      <c r="F259" s="83">
        <f t="shared" ref="F259:F269" si="65">D259+E259</f>
        <v>11009.710000000001</v>
      </c>
      <c r="G259" s="102"/>
      <c r="H259" s="20"/>
      <c r="I259" s="20"/>
      <c r="J259" s="108"/>
      <c r="K259" s="79"/>
      <c r="L259" s="79"/>
    </row>
    <row r="260" spans="1:12" x14ac:dyDescent="0.25">
      <c r="A260" s="56" t="s">
        <v>873</v>
      </c>
      <c r="B260" s="55" t="s">
        <v>831</v>
      </c>
      <c r="C260" s="7" t="s">
        <v>841</v>
      </c>
      <c r="D260" s="84">
        <v>1010.01</v>
      </c>
      <c r="E260" s="5">
        <f t="shared" si="64"/>
        <v>202</v>
      </c>
      <c r="F260" s="83">
        <f t="shared" si="65"/>
        <v>1212.01</v>
      </c>
      <c r="G260" s="102"/>
      <c r="H260" s="20"/>
      <c r="I260" s="20"/>
      <c r="J260" s="108"/>
      <c r="K260" s="79"/>
      <c r="L260" s="79"/>
    </row>
    <row r="261" spans="1:12" x14ac:dyDescent="0.25">
      <c r="A261" s="56" t="s">
        <v>874</v>
      </c>
      <c r="B261" s="55" t="s">
        <v>833</v>
      </c>
      <c r="C261" s="7" t="s">
        <v>841</v>
      </c>
      <c r="D261" s="84">
        <v>1339.58</v>
      </c>
      <c r="E261" s="5">
        <f t="shared" si="64"/>
        <v>267.92</v>
      </c>
      <c r="F261" s="83">
        <f t="shared" si="65"/>
        <v>1607.5</v>
      </c>
      <c r="G261" s="102"/>
      <c r="H261" s="20"/>
      <c r="I261" s="20"/>
      <c r="J261" s="108"/>
      <c r="K261" s="79"/>
      <c r="L261" s="79"/>
    </row>
    <row r="262" spans="1:12" ht="30" x14ac:dyDescent="0.25">
      <c r="A262" s="56" t="s">
        <v>875</v>
      </c>
      <c r="B262" s="55" t="s">
        <v>842</v>
      </c>
      <c r="C262" s="7" t="s">
        <v>841</v>
      </c>
      <c r="D262" s="84">
        <v>4263.01</v>
      </c>
      <c r="E262" s="5">
        <f t="shared" si="64"/>
        <v>852.6</v>
      </c>
      <c r="F262" s="83">
        <f t="shared" si="65"/>
        <v>5115.6100000000006</v>
      </c>
      <c r="G262" s="102"/>
      <c r="H262" s="20"/>
      <c r="I262" s="20"/>
      <c r="J262" s="108"/>
      <c r="K262" s="79"/>
      <c r="L262" s="79"/>
    </row>
    <row r="263" spans="1:12" ht="30" x14ac:dyDescent="0.25">
      <c r="A263" s="56" t="s">
        <v>876</v>
      </c>
      <c r="B263" s="55" t="s">
        <v>843</v>
      </c>
      <c r="C263" s="7" t="s">
        <v>841</v>
      </c>
      <c r="D263" s="84">
        <v>2572.83</v>
      </c>
      <c r="E263" s="5">
        <f t="shared" si="64"/>
        <v>514.57000000000005</v>
      </c>
      <c r="F263" s="83">
        <f t="shared" si="65"/>
        <v>3087.4</v>
      </c>
      <c r="G263" s="102"/>
      <c r="H263" s="20"/>
      <c r="I263" s="20"/>
      <c r="J263" s="108"/>
      <c r="K263" s="79"/>
      <c r="L263" s="79"/>
    </row>
    <row r="264" spans="1:12" x14ac:dyDescent="0.25">
      <c r="A264" s="56" t="s">
        <v>877</v>
      </c>
      <c r="B264" s="55" t="s">
        <v>844</v>
      </c>
      <c r="C264" s="7"/>
      <c r="D264" s="84"/>
      <c r="E264" s="5"/>
      <c r="F264" s="83"/>
      <c r="G264" s="102"/>
      <c r="H264" s="20"/>
      <c r="I264" s="20"/>
      <c r="J264" s="108"/>
      <c r="K264" s="79"/>
      <c r="L264" s="79"/>
    </row>
    <row r="265" spans="1:12" ht="30" x14ac:dyDescent="0.25">
      <c r="A265" s="56" t="s">
        <v>878</v>
      </c>
      <c r="B265" s="55" t="s">
        <v>845</v>
      </c>
      <c r="C265" s="7" t="s">
        <v>841</v>
      </c>
      <c r="D265" s="84">
        <v>14574.13</v>
      </c>
      <c r="E265" s="5">
        <f t="shared" si="64"/>
        <v>2914.83</v>
      </c>
      <c r="F265" s="83">
        <f t="shared" si="65"/>
        <v>17488.96</v>
      </c>
      <c r="G265" s="102"/>
      <c r="H265" s="20"/>
      <c r="I265" s="20"/>
      <c r="J265" s="108"/>
      <c r="K265" s="79"/>
      <c r="L265" s="79"/>
    </row>
    <row r="266" spans="1:12" x14ac:dyDescent="0.25">
      <c r="A266" s="56" t="s">
        <v>879</v>
      </c>
      <c r="B266" s="55" t="s">
        <v>831</v>
      </c>
      <c r="C266" s="7" t="s">
        <v>841</v>
      </c>
      <c r="D266" s="84">
        <v>1116.3</v>
      </c>
      <c r="E266" s="5">
        <f t="shared" si="64"/>
        <v>223.26</v>
      </c>
      <c r="F266" s="83">
        <f t="shared" si="65"/>
        <v>1339.56</v>
      </c>
      <c r="G266" s="102"/>
      <c r="H266" s="20"/>
      <c r="I266" s="20"/>
      <c r="J266" s="108"/>
      <c r="K266" s="79"/>
      <c r="L266" s="79"/>
    </row>
    <row r="267" spans="1:12" x14ac:dyDescent="0.25">
      <c r="A267" s="56" t="s">
        <v>880</v>
      </c>
      <c r="B267" s="55" t="s">
        <v>833</v>
      </c>
      <c r="C267" s="7" t="s">
        <v>841</v>
      </c>
      <c r="D267" s="84">
        <v>5089.76</v>
      </c>
      <c r="E267" s="5">
        <f t="shared" si="64"/>
        <v>1017.95</v>
      </c>
      <c r="F267" s="83">
        <f t="shared" si="65"/>
        <v>6107.71</v>
      </c>
      <c r="G267" s="102"/>
      <c r="H267" s="20"/>
      <c r="I267" s="20"/>
      <c r="J267" s="108"/>
      <c r="K267" s="79"/>
      <c r="L267" s="79"/>
    </row>
    <row r="268" spans="1:12" ht="30" x14ac:dyDescent="0.25">
      <c r="A268" s="56" t="s">
        <v>881</v>
      </c>
      <c r="B268" s="55" t="s">
        <v>842</v>
      </c>
      <c r="C268" s="7" t="s">
        <v>841</v>
      </c>
      <c r="D268" s="84">
        <v>4795.8900000000003</v>
      </c>
      <c r="E268" s="5">
        <f t="shared" si="64"/>
        <v>959.18</v>
      </c>
      <c r="F268" s="83">
        <f t="shared" si="65"/>
        <v>5755.0700000000006</v>
      </c>
      <c r="G268" s="102"/>
      <c r="H268" s="20"/>
      <c r="I268" s="20"/>
      <c r="J268" s="108"/>
      <c r="K268" s="79"/>
      <c r="L268" s="79"/>
    </row>
    <row r="269" spans="1:12" ht="30" x14ac:dyDescent="0.25">
      <c r="A269" s="56" t="s">
        <v>882</v>
      </c>
      <c r="B269" s="55" t="s">
        <v>843</v>
      </c>
      <c r="C269" s="7" t="s">
        <v>841</v>
      </c>
      <c r="D269" s="84">
        <v>3572.18</v>
      </c>
      <c r="E269" s="5">
        <f t="shared" si="64"/>
        <v>714.44</v>
      </c>
      <c r="F269" s="83">
        <f t="shared" si="65"/>
        <v>4286.62</v>
      </c>
      <c r="G269" s="102"/>
      <c r="H269" s="20"/>
      <c r="I269" s="20"/>
      <c r="J269" s="108"/>
      <c r="K269" s="79"/>
      <c r="L269" s="79"/>
    </row>
    <row r="270" spans="1:12" ht="18.75" x14ac:dyDescent="0.25">
      <c r="A270" s="22" t="s">
        <v>87</v>
      </c>
      <c r="B270" s="138" t="s">
        <v>88</v>
      </c>
      <c r="C270" s="139"/>
      <c r="D270" s="139"/>
      <c r="E270" s="139"/>
      <c r="F270" s="139"/>
      <c r="G270" s="102"/>
      <c r="H270" s="20"/>
      <c r="I270" s="4"/>
      <c r="J270" s="79"/>
      <c r="K270" s="79"/>
      <c r="L270" s="79"/>
    </row>
    <row r="271" spans="1:12" ht="38.25" customHeight="1" x14ac:dyDescent="0.25">
      <c r="A271" s="46" t="s">
        <v>6</v>
      </c>
      <c r="B271" s="21" t="s">
        <v>1012</v>
      </c>
      <c r="C271" s="124" t="s">
        <v>299</v>
      </c>
      <c r="D271" s="125"/>
      <c r="E271" s="125"/>
      <c r="F271" s="126"/>
      <c r="G271" s="102"/>
      <c r="H271" s="20"/>
      <c r="I271" s="4"/>
      <c r="J271" s="79"/>
      <c r="K271" s="79"/>
      <c r="L271" s="79"/>
    </row>
    <row r="272" spans="1:12" ht="36.75" customHeight="1" x14ac:dyDescent="0.25">
      <c r="A272" s="46" t="s">
        <v>7</v>
      </c>
      <c r="B272" s="21" t="s">
        <v>1013</v>
      </c>
      <c r="C272" s="124" t="s">
        <v>299</v>
      </c>
      <c r="D272" s="125"/>
      <c r="E272" s="125"/>
      <c r="F272" s="126"/>
      <c r="G272" s="102"/>
      <c r="H272" s="20"/>
      <c r="I272" s="4"/>
      <c r="J272" s="79"/>
      <c r="K272" s="79"/>
      <c r="L272" s="79"/>
    </row>
    <row r="273" spans="1:12" s="17" customFormat="1" ht="50.25" x14ac:dyDescent="0.25">
      <c r="A273" s="9" t="s">
        <v>884</v>
      </c>
      <c r="B273" s="49" t="s">
        <v>1015</v>
      </c>
      <c r="C273" s="81"/>
      <c r="D273" s="100">
        <v>3968.3799999999997</v>
      </c>
      <c r="E273" s="5">
        <f t="shared" ref="E273:E323" si="66">ROUND(D273*0.2,2)</f>
        <v>793.68</v>
      </c>
      <c r="F273" s="83">
        <f t="shared" ref="F273:F323" si="67">D273+E273</f>
        <v>4762.0599999999995</v>
      </c>
      <c r="G273" s="102"/>
      <c r="H273" s="20"/>
      <c r="I273" s="20"/>
      <c r="J273" s="108"/>
      <c r="K273" s="108"/>
      <c r="L273" s="79"/>
    </row>
    <row r="274" spans="1:12" s="17" customFormat="1" x14ac:dyDescent="0.25">
      <c r="A274" s="81" t="s">
        <v>885</v>
      </c>
      <c r="B274" s="49" t="s">
        <v>886</v>
      </c>
      <c r="C274" s="81" t="s">
        <v>887</v>
      </c>
      <c r="D274" s="7">
        <v>3968.3799999999997</v>
      </c>
      <c r="E274" s="5">
        <f t="shared" si="66"/>
        <v>793.68</v>
      </c>
      <c r="F274" s="83">
        <f t="shared" si="67"/>
        <v>4762.0599999999995</v>
      </c>
      <c r="G274" s="102"/>
      <c r="H274" s="20"/>
      <c r="I274" s="20"/>
      <c r="J274" s="108"/>
      <c r="K274" s="108"/>
      <c r="L274" s="79"/>
    </row>
    <row r="275" spans="1:12" s="17" customFormat="1" ht="50.25" x14ac:dyDescent="0.25">
      <c r="A275" s="81" t="s">
        <v>893</v>
      </c>
      <c r="B275" s="49" t="s">
        <v>1016</v>
      </c>
      <c r="C275" s="81"/>
      <c r="D275" s="7">
        <v>4117.2999999999993</v>
      </c>
      <c r="E275" s="5">
        <f t="shared" si="66"/>
        <v>823.46</v>
      </c>
      <c r="F275" s="83">
        <f t="shared" si="67"/>
        <v>4940.7599999999993</v>
      </c>
      <c r="G275" s="102"/>
      <c r="H275" s="20"/>
      <c r="I275" s="20"/>
      <c r="J275" s="108"/>
      <c r="K275" s="108"/>
      <c r="L275" s="79"/>
    </row>
    <row r="276" spans="1:12" s="17" customFormat="1" x14ac:dyDescent="0.25">
      <c r="A276" s="81" t="s">
        <v>894</v>
      </c>
      <c r="B276" s="49" t="s">
        <v>895</v>
      </c>
      <c r="C276" s="81" t="s">
        <v>887</v>
      </c>
      <c r="D276" s="7">
        <v>4117.2999999999993</v>
      </c>
      <c r="E276" s="5">
        <f t="shared" si="66"/>
        <v>823.46</v>
      </c>
      <c r="F276" s="83">
        <f t="shared" si="67"/>
        <v>4940.7599999999993</v>
      </c>
      <c r="G276" s="102"/>
      <c r="H276" s="20"/>
      <c r="I276" s="20"/>
      <c r="J276" s="108"/>
      <c r="K276" s="108"/>
      <c r="L276" s="79"/>
    </row>
    <row r="277" spans="1:12" s="17" customFormat="1" ht="34.5" x14ac:dyDescent="0.25">
      <c r="A277" s="81" t="s">
        <v>896</v>
      </c>
      <c r="B277" s="49" t="s">
        <v>1014</v>
      </c>
      <c r="C277" s="81"/>
      <c r="D277" s="7">
        <v>7482.6099999999988</v>
      </c>
      <c r="E277" s="5">
        <f t="shared" si="66"/>
        <v>1496.52</v>
      </c>
      <c r="F277" s="83">
        <f t="shared" si="67"/>
        <v>8979.1299999999992</v>
      </c>
      <c r="G277" s="102"/>
      <c r="H277" s="20"/>
      <c r="I277" s="20"/>
      <c r="J277" s="108"/>
      <c r="K277" s="108"/>
      <c r="L277" s="79"/>
    </row>
    <row r="278" spans="1:12" s="17" customFormat="1" x14ac:dyDescent="0.25">
      <c r="A278" s="9" t="s">
        <v>897</v>
      </c>
      <c r="B278" s="49" t="s">
        <v>886</v>
      </c>
      <c r="C278" s="81" t="s">
        <v>887</v>
      </c>
      <c r="D278" s="7">
        <v>4117.2999999999993</v>
      </c>
      <c r="E278" s="5">
        <f t="shared" si="66"/>
        <v>823.46</v>
      </c>
      <c r="F278" s="83">
        <f t="shared" si="67"/>
        <v>4940.7599999999993</v>
      </c>
      <c r="G278" s="102"/>
      <c r="H278" s="20"/>
      <c r="I278" s="20"/>
      <c r="J278" s="108"/>
      <c r="K278" s="108"/>
      <c r="L278" s="79"/>
    </row>
    <row r="279" spans="1:12" s="17" customFormat="1" x14ac:dyDescent="0.25">
      <c r="A279" s="81" t="s">
        <v>898</v>
      </c>
      <c r="B279" s="49" t="s">
        <v>945</v>
      </c>
      <c r="C279" s="81" t="s">
        <v>892</v>
      </c>
      <c r="D279" s="7">
        <v>2508.39</v>
      </c>
      <c r="E279" s="5">
        <f t="shared" si="66"/>
        <v>501.68</v>
      </c>
      <c r="F279" s="83">
        <f t="shared" si="67"/>
        <v>3010.0699999999997</v>
      </c>
      <c r="G279" s="102"/>
      <c r="H279" s="20"/>
      <c r="I279" s="20"/>
      <c r="J279" s="108"/>
      <c r="K279" s="108"/>
      <c r="L279" s="79"/>
    </row>
    <row r="280" spans="1:12" s="17" customFormat="1" x14ac:dyDescent="0.25">
      <c r="A280" s="81" t="s">
        <v>899</v>
      </c>
      <c r="B280" s="49" t="s">
        <v>946</v>
      </c>
      <c r="C280" s="81" t="s">
        <v>904</v>
      </c>
      <c r="D280" s="7">
        <v>856.92000000000007</v>
      </c>
      <c r="E280" s="5">
        <f t="shared" si="66"/>
        <v>171.38</v>
      </c>
      <c r="F280" s="83">
        <f t="shared" si="67"/>
        <v>1028.3000000000002</v>
      </c>
      <c r="G280" s="102"/>
      <c r="H280" s="20"/>
      <c r="I280" s="20"/>
      <c r="J280" s="108"/>
      <c r="K280" s="108"/>
      <c r="L280" s="79"/>
    </row>
    <row r="281" spans="1:12" s="17" customFormat="1" ht="34.5" x14ac:dyDescent="0.25">
      <c r="A281" s="81" t="s">
        <v>900</v>
      </c>
      <c r="B281" s="49" t="s">
        <v>1017</v>
      </c>
      <c r="C281" s="81"/>
      <c r="D281" s="7">
        <v>7642.75</v>
      </c>
      <c r="E281" s="5">
        <f t="shared" si="66"/>
        <v>1528.55</v>
      </c>
      <c r="F281" s="83">
        <f t="shared" si="67"/>
        <v>9171.2999999999993</v>
      </c>
      <c r="G281" s="102"/>
      <c r="H281" s="20"/>
      <c r="I281" s="20"/>
      <c r="J281" s="108"/>
      <c r="K281" s="108"/>
      <c r="L281" s="79"/>
    </row>
    <row r="282" spans="1:12" s="17" customFormat="1" x14ac:dyDescent="0.25">
      <c r="A282" s="81" t="s">
        <v>901</v>
      </c>
      <c r="B282" s="49" t="s">
        <v>895</v>
      </c>
      <c r="C282" s="81" t="s">
        <v>887</v>
      </c>
      <c r="D282" s="7">
        <v>4277.4400000000005</v>
      </c>
      <c r="E282" s="5">
        <f t="shared" si="66"/>
        <v>855.49</v>
      </c>
      <c r="F282" s="83">
        <f t="shared" si="67"/>
        <v>5132.93</v>
      </c>
      <c r="G282" s="102"/>
      <c r="H282" s="20"/>
      <c r="I282" s="20"/>
      <c r="J282" s="108"/>
      <c r="K282" s="108"/>
      <c r="L282" s="79"/>
    </row>
    <row r="283" spans="1:12" s="17" customFormat="1" x14ac:dyDescent="0.25">
      <c r="A283" s="81" t="s">
        <v>902</v>
      </c>
      <c r="B283" s="49" t="s">
        <v>945</v>
      </c>
      <c r="C283" s="81" t="s">
        <v>892</v>
      </c>
      <c r="D283" s="7">
        <v>2508.39</v>
      </c>
      <c r="E283" s="5">
        <f t="shared" si="66"/>
        <v>501.68</v>
      </c>
      <c r="F283" s="83">
        <f t="shared" si="67"/>
        <v>3010.0699999999997</v>
      </c>
      <c r="G283" s="102"/>
      <c r="H283" s="20"/>
      <c r="I283" s="20"/>
      <c r="J283" s="108"/>
      <c r="K283" s="108"/>
      <c r="L283" s="79"/>
    </row>
    <row r="284" spans="1:12" s="17" customFormat="1" x14ac:dyDescent="0.25">
      <c r="A284" s="9" t="s">
        <v>903</v>
      </c>
      <c r="B284" s="49" t="s">
        <v>946</v>
      </c>
      <c r="C284" s="81" t="s">
        <v>904</v>
      </c>
      <c r="D284" s="7">
        <v>856.92000000000007</v>
      </c>
      <c r="E284" s="5">
        <f t="shared" si="66"/>
        <v>171.38</v>
      </c>
      <c r="F284" s="83">
        <f t="shared" si="67"/>
        <v>1028.3000000000002</v>
      </c>
      <c r="G284" s="102"/>
      <c r="H284" s="20"/>
      <c r="I284" s="20"/>
      <c r="J284" s="108"/>
      <c r="K284" s="108"/>
      <c r="L284" s="79"/>
    </row>
    <row r="285" spans="1:12" s="17" customFormat="1" ht="34.5" x14ac:dyDescent="0.25">
      <c r="A285" s="81" t="s">
        <v>906</v>
      </c>
      <c r="B285" s="49" t="s">
        <v>1018</v>
      </c>
      <c r="C285" s="81"/>
      <c r="D285" s="7">
        <v>10293.32</v>
      </c>
      <c r="E285" s="5">
        <f t="shared" si="66"/>
        <v>2058.66</v>
      </c>
      <c r="F285" s="83">
        <f t="shared" si="67"/>
        <v>12351.98</v>
      </c>
      <c r="G285" s="102"/>
      <c r="H285" s="20"/>
      <c r="I285" s="20"/>
      <c r="J285" s="108"/>
      <c r="K285" s="108"/>
      <c r="L285" s="79"/>
    </row>
    <row r="286" spans="1:12" s="17" customFormat="1" x14ac:dyDescent="0.25">
      <c r="A286" s="81" t="s">
        <v>907</v>
      </c>
      <c r="B286" s="49" t="s">
        <v>886</v>
      </c>
      <c r="C286" s="81" t="s">
        <v>887</v>
      </c>
      <c r="D286" s="7">
        <v>4117.2999999999993</v>
      </c>
      <c r="E286" s="5">
        <f t="shared" si="66"/>
        <v>823.46</v>
      </c>
      <c r="F286" s="83">
        <f t="shared" si="67"/>
        <v>4940.7599999999993</v>
      </c>
      <c r="G286" s="102"/>
      <c r="H286" s="20"/>
      <c r="I286" s="20"/>
      <c r="J286" s="108"/>
      <c r="K286" s="108"/>
      <c r="L286" s="79"/>
    </row>
    <row r="287" spans="1:12" s="17" customFormat="1" x14ac:dyDescent="0.25">
      <c r="A287" s="81" t="s">
        <v>908</v>
      </c>
      <c r="B287" s="49" t="s">
        <v>945</v>
      </c>
      <c r="C287" s="81" t="s">
        <v>892</v>
      </c>
      <c r="D287" s="7">
        <v>2508.39</v>
      </c>
      <c r="E287" s="5">
        <f t="shared" si="66"/>
        <v>501.68</v>
      </c>
      <c r="F287" s="83">
        <f t="shared" si="67"/>
        <v>3010.0699999999997</v>
      </c>
      <c r="G287" s="102"/>
      <c r="H287" s="20"/>
      <c r="I287" s="20"/>
      <c r="J287" s="108"/>
      <c r="K287" s="108"/>
      <c r="L287" s="79"/>
    </row>
    <row r="288" spans="1:12" s="17" customFormat="1" x14ac:dyDescent="0.25">
      <c r="A288" s="81" t="s">
        <v>909</v>
      </c>
      <c r="B288" s="49" t="s">
        <v>946</v>
      </c>
      <c r="C288" s="81" t="s">
        <v>904</v>
      </c>
      <c r="D288" s="7">
        <v>856.92000000000007</v>
      </c>
      <c r="E288" s="5">
        <f t="shared" si="66"/>
        <v>171.38</v>
      </c>
      <c r="F288" s="83">
        <f t="shared" si="67"/>
        <v>1028.3000000000002</v>
      </c>
      <c r="G288" s="102"/>
      <c r="H288" s="20"/>
      <c r="I288" s="20"/>
      <c r="J288" s="108"/>
      <c r="K288" s="108"/>
      <c r="L288" s="79"/>
    </row>
    <row r="289" spans="1:12" s="17" customFormat="1" x14ac:dyDescent="0.25">
      <c r="A289" s="81" t="s">
        <v>910</v>
      </c>
      <c r="B289" s="49" t="s">
        <v>947</v>
      </c>
      <c r="C289" s="81" t="s">
        <v>904</v>
      </c>
      <c r="D289" s="7">
        <v>2810.71</v>
      </c>
      <c r="E289" s="5">
        <f t="shared" si="66"/>
        <v>562.14</v>
      </c>
      <c r="F289" s="83">
        <f t="shared" si="67"/>
        <v>3372.85</v>
      </c>
      <c r="G289" s="102"/>
      <c r="H289" s="20"/>
      <c r="I289" s="20"/>
      <c r="J289" s="108"/>
      <c r="K289" s="108"/>
      <c r="L289" s="79"/>
    </row>
    <row r="290" spans="1:12" s="17" customFormat="1" ht="34.5" x14ac:dyDescent="0.25">
      <c r="A290" s="9" t="s">
        <v>911</v>
      </c>
      <c r="B290" s="49" t="s">
        <v>1019</v>
      </c>
      <c r="C290" s="81"/>
      <c r="D290" s="7">
        <v>10453.459999999999</v>
      </c>
      <c r="E290" s="5">
        <f t="shared" si="66"/>
        <v>2090.69</v>
      </c>
      <c r="F290" s="83">
        <f t="shared" si="67"/>
        <v>12544.15</v>
      </c>
      <c r="G290" s="102"/>
      <c r="H290" s="20"/>
      <c r="I290" s="20"/>
      <c r="J290" s="108"/>
      <c r="K290" s="108"/>
      <c r="L290" s="79"/>
    </row>
    <row r="291" spans="1:12" s="17" customFormat="1" x14ac:dyDescent="0.25">
      <c r="A291" s="81" t="s">
        <v>912</v>
      </c>
      <c r="B291" s="49" t="s">
        <v>895</v>
      </c>
      <c r="C291" s="81" t="s">
        <v>887</v>
      </c>
      <c r="D291" s="7">
        <v>4277.4400000000005</v>
      </c>
      <c r="E291" s="5">
        <f t="shared" si="66"/>
        <v>855.49</v>
      </c>
      <c r="F291" s="83">
        <f t="shared" si="67"/>
        <v>5132.93</v>
      </c>
      <c r="G291" s="102"/>
      <c r="H291" s="20"/>
      <c r="I291" s="20"/>
      <c r="J291" s="108"/>
      <c r="K291" s="108"/>
      <c r="L291" s="79"/>
    </row>
    <row r="292" spans="1:12" s="17" customFormat="1" x14ac:dyDescent="0.25">
      <c r="A292" s="81" t="s">
        <v>913</v>
      </c>
      <c r="B292" s="49" t="s">
        <v>905</v>
      </c>
      <c r="C292" s="81" t="s">
        <v>892</v>
      </c>
      <c r="D292" s="7">
        <v>2508.39</v>
      </c>
      <c r="E292" s="5">
        <f t="shared" si="66"/>
        <v>501.68</v>
      </c>
      <c r="F292" s="83">
        <f t="shared" si="67"/>
        <v>3010.0699999999997</v>
      </c>
      <c r="G292" s="102"/>
      <c r="H292" s="20"/>
      <c r="I292" s="20"/>
      <c r="J292" s="108"/>
      <c r="K292" s="108"/>
      <c r="L292" s="79"/>
    </row>
    <row r="293" spans="1:12" s="17" customFormat="1" x14ac:dyDescent="0.25">
      <c r="A293" s="81" t="s">
        <v>914</v>
      </c>
      <c r="B293" s="49" t="s">
        <v>946</v>
      </c>
      <c r="C293" s="81" t="s">
        <v>904</v>
      </c>
      <c r="D293" s="7">
        <v>856.92000000000007</v>
      </c>
      <c r="E293" s="5">
        <f t="shared" si="66"/>
        <v>171.38</v>
      </c>
      <c r="F293" s="83">
        <f t="shared" si="67"/>
        <v>1028.3000000000002</v>
      </c>
      <c r="G293" s="102"/>
      <c r="H293" s="20"/>
      <c r="I293" s="20"/>
      <c r="J293" s="108"/>
      <c r="K293" s="108"/>
      <c r="L293" s="79"/>
    </row>
    <row r="294" spans="1:12" s="17" customFormat="1" x14ac:dyDescent="0.25">
      <c r="A294" s="81" t="s">
        <v>915</v>
      </c>
      <c r="B294" s="49" t="s">
        <v>947</v>
      </c>
      <c r="C294" s="81" t="s">
        <v>904</v>
      </c>
      <c r="D294" s="7">
        <v>2810.71</v>
      </c>
      <c r="E294" s="5">
        <f t="shared" si="66"/>
        <v>562.14</v>
      </c>
      <c r="F294" s="83">
        <f t="shared" si="67"/>
        <v>3372.85</v>
      </c>
      <c r="G294" s="102"/>
      <c r="H294" s="20"/>
      <c r="I294" s="20"/>
      <c r="J294" s="108"/>
      <c r="K294" s="108"/>
      <c r="L294" s="79"/>
    </row>
    <row r="295" spans="1:12" s="17" customFormat="1" ht="34.5" x14ac:dyDescent="0.25">
      <c r="A295" s="81" t="s">
        <v>916</v>
      </c>
      <c r="B295" s="49" t="s">
        <v>1020</v>
      </c>
      <c r="C295" s="81"/>
      <c r="D295" s="7">
        <v>11150.239999999998</v>
      </c>
      <c r="E295" s="5">
        <f t="shared" si="66"/>
        <v>2230.0500000000002</v>
      </c>
      <c r="F295" s="83">
        <f t="shared" si="67"/>
        <v>13380.289999999997</v>
      </c>
      <c r="G295" s="102"/>
      <c r="H295" s="20"/>
      <c r="I295" s="20"/>
      <c r="J295" s="108"/>
      <c r="K295" s="108"/>
      <c r="L295" s="79"/>
    </row>
    <row r="296" spans="1:12" s="17" customFormat="1" x14ac:dyDescent="0.25">
      <c r="A296" s="81" t="s">
        <v>917</v>
      </c>
      <c r="B296" s="49" t="s">
        <v>886</v>
      </c>
      <c r="C296" s="81" t="s">
        <v>887</v>
      </c>
      <c r="D296" s="7">
        <v>4117.2999999999993</v>
      </c>
      <c r="E296" s="5">
        <f t="shared" si="66"/>
        <v>823.46</v>
      </c>
      <c r="F296" s="83">
        <f t="shared" si="67"/>
        <v>4940.7599999999993</v>
      </c>
      <c r="G296" s="102"/>
      <c r="H296" s="20"/>
      <c r="I296" s="20"/>
      <c r="J296" s="108"/>
      <c r="K296" s="108"/>
      <c r="L296" s="79"/>
    </row>
    <row r="297" spans="1:12" s="17" customFormat="1" x14ac:dyDescent="0.25">
      <c r="A297" s="81" t="s">
        <v>918</v>
      </c>
      <c r="B297" s="49" t="s">
        <v>945</v>
      </c>
      <c r="C297" s="81" t="s">
        <v>892</v>
      </c>
      <c r="D297" s="7">
        <v>2508.39</v>
      </c>
      <c r="E297" s="5">
        <f t="shared" si="66"/>
        <v>501.68</v>
      </c>
      <c r="F297" s="83">
        <f t="shared" si="67"/>
        <v>3010.0699999999997</v>
      </c>
      <c r="G297" s="102"/>
      <c r="H297" s="20"/>
      <c r="I297" s="20"/>
      <c r="J297" s="108"/>
      <c r="K297" s="108"/>
      <c r="L297" s="79"/>
    </row>
    <row r="298" spans="1:12" s="17" customFormat="1" x14ac:dyDescent="0.25">
      <c r="A298" s="81" t="s">
        <v>919</v>
      </c>
      <c r="B298" s="49" t="s">
        <v>946</v>
      </c>
      <c r="C298" s="81" t="s">
        <v>904</v>
      </c>
      <c r="D298" s="7">
        <v>856.92000000000007</v>
      </c>
      <c r="E298" s="5">
        <f t="shared" si="66"/>
        <v>171.38</v>
      </c>
      <c r="F298" s="83">
        <f t="shared" si="67"/>
        <v>1028.3000000000002</v>
      </c>
      <c r="G298" s="102"/>
      <c r="H298" s="20"/>
      <c r="I298" s="20"/>
      <c r="J298" s="108"/>
      <c r="K298" s="108"/>
      <c r="L298" s="79"/>
    </row>
    <row r="299" spans="1:12" s="17" customFormat="1" x14ac:dyDescent="0.25">
      <c r="A299" s="81" t="s">
        <v>920</v>
      </c>
      <c r="B299" s="49" t="s">
        <v>948</v>
      </c>
      <c r="C299" s="81" t="s">
        <v>904</v>
      </c>
      <c r="D299" s="7">
        <v>856.92000000000007</v>
      </c>
      <c r="E299" s="5">
        <f t="shared" si="66"/>
        <v>171.38</v>
      </c>
      <c r="F299" s="83">
        <f t="shared" si="67"/>
        <v>1028.3000000000002</v>
      </c>
      <c r="G299" s="102"/>
      <c r="H299" s="20"/>
      <c r="I299" s="20"/>
      <c r="J299" s="108"/>
      <c r="K299" s="108"/>
      <c r="L299" s="79"/>
    </row>
    <row r="300" spans="1:12" s="17" customFormat="1" x14ac:dyDescent="0.25">
      <c r="A300" s="81" t="s">
        <v>921</v>
      </c>
      <c r="B300" s="49" t="s">
        <v>947</v>
      </c>
      <c r="C300" s="81" t="s">
        <v>904</v>
      </c>
      <c r="D300" s="7">
        <v>2810.71</v>
      </c>
      <c r="E300" s="5">
        <f t="shared" si="66"/>
        <v>562.14</v>
      </c>
      <c r="F300" s="83">
        <f t="shared" si="67"/>
        <v>3372.85</v>
      </c>
      <c r="G300" s="102"/>
      <c r="H300" s="20"/>
      <c r="I300" s="20"/>
      <c r="J300" s="108"/>
      <c r="K300" s="108"/>
      <c r="L300" s="79"/>
    </row>
    <row r="301" spans="1:12" s="17" customFormat="1" ht="34.5" x14ac:dyDescent="0.25">
      <c r="A301" s="81" t="s">
        <v>922</v>
      </c>
      <c r="B301" s="49" t="s">
        <v>1021</v>
      </c>
      <c r="C301" s="81"/>
      <c r="D301" s="7">
        <v>12054.96</v>
      </c>
      <c r="E301" s="5">
        <f t="shared" si="66"/>
        <v>2410.9899999999998</v>
      </c>
      <c r="F301" s="83">
        <f t="shared" si="67"/>
        <v>14465.949999999999</v>
      </c>
      <c r="G301" s="102"/>
      <c r="H301" s="20"/>
      <c r="I301" s="20"/>
      <c r="J301" s="108"/>
      <c r="K301" s="108"/>
      <c r="L301" s="79"/>
    </row>
    <row r="302" spans="1:12" s="17" customFormat="1" x14ac:dyDescent="0.25">
      <c r="A302" s="81" t="s">
        <v>923</v>
      </c>
      <c r="B302" s="49" t="s">
        <v>895</v>
      </c>
      <c r="C302" s="81" t="s">
        <v>887</v>
      </c>
      <c r="D302" s="7">
        <v>4277.4400000000005</v>
      </c>
      <c r="E302" s="5">
        <f t="shared" si="66"/>
        <v>855.49</v>
      </c>
      <c r="F302" s="83">
        <f t="shared" si="67"/>
        <v>5132.93</v>
      </c>
      <c r="G302" s="102"/>
      <c r="H302" s="20"/>
      <c r="I302" s="20"/>
      <c r="J302" s="108"/>
      <c r="K302" s="108"/>
      <c r="L302" s="79"/>
    </row>
    <row r="303" spans="1:12" s="17" customFormat="1" x14ac:dyDescent="0.25">
      <c r="A303" s="81" t="s">
        <v>924</v>
      </c>
      <c r="B303" s="49" t="s">
        <v>945</v>
      </c>
      <c r="C303" s="81" t="s">
        <v>892</v>
      </c>
      <c r="D303" s="7">
        <v>2508.39</v>
      </c>
      <c r="E303" s="5">
        <f t="shared" si="66"/>
        <v>501.68</v>
      </c>
      <c r="F303" s="83">
        <f t="shared" si="67"/>
        <v>3010.0699999999997</v>
      </c>
      <c r="G303" s="102"/>
      <c r="H303" s="20"/>
      <c r="I303" s="20"/>
      <c r="J303" s="108"/>
      <c r="K303" s="108"/>
      <c r="L303" s="79"/>
    </row>
    <row r="304" spans="1:12" s="17" customFormat="1" x14ac:dyDescent="0.25">
      <c r="A304" s="9" t="s">
        <v>925</v>
      </c>
      <c r="B304" s="49" t="s">
        <v>946</v>
      </c>
      <c r="C304" s="80" t="s">
        <v>904</v>
      </c>
      <c r="D304" s="100">
        <v>856.92000000000007</v>
      </c>
      <c r="E304" s="5">
        <f t="shared" si="66"/>
        <v>171.38</v>
      </c>
      <c r="F304" s="83">
        <f t="shared" si="67"/>
        <v>1028.3000000000002</v>
      </c>
      <c r="G304" s="102"/>
      <c r="H304" s="20"/>
      <c r="I304" s="20"/>
      <c r="J304" s="108"/>
      <c r="K304" s="108"/>
      <c r="L304" s="79"/>
    </row>
    <row r="305" spans="1:12" s="17" customFormat="1" x14ac:dyDescent="0.25">
      <c r="A305" s="80" t="s">
        <v>926</v>
      </c>
      <c r="B305" s="49" t="s">
        <v>40</v>
      </c>
      <c r="C305" s="80" t="s">
        <v>904</v>
      </c>
      <c r="D305" s="7">
        <v>744.57999999999993</v>
      </c>
      <c r="E305" s="5">
        <f t="shared" si="66"/>
        <v>148.91999999999999</v>
      </c>
      <c r="F305" s="83">
        <f t="shared" si="67"/>
        <v>893.49999999999989</v>
      </c>
      <c r="G305" s="102"/>
      <c r="H305" s="20"/>
      <c r="I305" s="20"/>
      <c r="J305" s="108"/>
      <c r="K305" s="108"/>
      <c r="L305" s="79"/>
    </row>
    <row r="306" spans="1:12" s="17" customFormat="1" x14ac:dyDescent="0.25">
      <c r="A306" s="80" t="s">
        <v>927</v>
      </c>
      <c r="B306" s="49" t="s">
        <v>948</v>
      </c>
      <c r="C306" s="80" t="s">
        <v>904</v>
      </c>
      <c r="D306" s="7">
        <v>856.92000000000007</v>
      </c>
      <c r="E306" s="5">
        <f t="shared" si="66"/>
        <v>171.38</v>
      </c>
      <c r="F306" s="83">
        <f t="shared" si="67"/>
        <v>1028.3000000000002</v>
      </c>
      <c r="G306" s="102"/>
      <c r="H306" s="20"/>
      <c r="I306" s="20"/>
      <c r="J306" s="108"/>
      <c r="K306" s="108"/>
      <c r="L306" s="79"/>
    </row>
    <row r="307" spans="1:12" s="17" customFormat="1" x14ac:dyDescent="0.25">
      <c r="A307" s="80" t="s">
        <v>928</v>
      </c>
      <c r="B307" s="49" t="s">
        <v>947</v>
      </c>
      <c r="C307" s="80" t="s">
        <v>904</v>
      </c>
      <c r="D307" s="7">
        <v>2810.71</v>
      </c>
      <c r="E307" s="5">
        <f t="shared" si="66"/>
        <v>562.14</v>
      </c>
      <c r="F307" s="83">
        <f t="shared" si="67"/>
        <v>3372.85</v>
      </c>
      <c r="G307" s="102"/>
      <c r="H307" s="20"/>
      <c r="I307" s="20"/>
      <c r="J307" s="108"/>
      <c r="K307" s="108"/>
      <c r="L307" s="79"/>
    </row>
    <row r="308" spans="1:12" s="17" customFormat="1" ht="34.5" x14ac:dyDescent="0.25">
      <c r="A308" s="80" t="s">
        <v>929</v>
      </c>
      <c r="B308" s="49" t="s">
        <v>1022</v>
      </c>
      <c r="C308" s="80"/>
      <c r="D308" s="7">
        <v>13798.619999999999</v>
      </c>
      <c r="E308" s="5">
        <f t="shared" si="66"/>
        <v>2759.72</v>
      </c>
      <c r="F308" s="83">
        <f t="shared" si="67"/>
        <v>16558.34</v>
      </c>
      <c r="G308" s="102"/>
      <c r="H308" s="20"/>
      <c r="I308" s="20"/>
      <c r="J308" s="108"/>
      <c r="K308" s="108"/>
      <c r="L308" s="79"/>
    </row>
    <row r="309" spans="1:12" s="17" customFormat="1" x14ac:dyDescent="0.25">
      <c r="A309" s="9" t="s">
        <v>930</v>
      </c>
      <c r="B309" s="49" t="s">
        <v>886</v>
      </c>
      <c r="C309" s="80" t="s">
        <v>887</v>
      </c>
      <c r="D309" s="7">
        <v>4117.2999999999993</v>
      </c>
      <c r="E309" s="5">
        <f t="shared" si="66"/>
        <v>823.46</v>
      </c>
      <c r="F309" s="83">
        <f t="shared" si="67"/>
        <v>4940.7599999999993</v>
      </c>
      <c r="G309" s="102"/>
      <c r="H309" s="20"/>
      <c r="I309" s="20"/>
      <c r="J309" s="108"/>
      <c r="K309" s="108"/>
      <c r="L309" s="79"/>
    </row>
    <row r="310" spans="1:12" s="17" customFormat="1" x14ac:dyDescent="0.25">
      <c r="A310" s="80" t="s">
        <v>931</v>
      </c>
      <c r="B310" s="49" t="s">
        <v>890</v>
      </c>
      <c r="C310" s="80" t="s">
        <v>891</v>
      </c>
      <c r="D310" s="7">
        <v>3113.01</v>
      </c>
      <c r="E310" s="5">
        <f t="shared" si="66"/>
        <v>622.6</v>
      </c>
      <c r="F310" s="83">
        <f t="shared" si="67"/>
        <v>3735.61</v>
      </c>
      <c r="G310" s="102"/>
      <c r="H310" s="20"/>
      <c r="I310" s="20"/>
      <c r="J310" s="108"/>
      <c r="K310" s="108"/>
      <c r="L310" s="79"/>
    </row>
    <row r="311" spans="1:12" s="17" customFormat="1" x14ac:dyDescent="0.25">
      <c r="A311" s="80" t="s">
        <v>932</v>
      </c>
      <c r="B311" s="49" t="s">
        <v>888</v>
      </c>
      <c r="C311" s="80" t="s">
        <v>889</v>
      </c>
      <c r="D311" s="7">
        <v>1601.4999999999998</v>
      </c>
      <c r="E311" s="5">
        <f t="shared" si="66"/>
        <v>320.3</v>
      </c>
      <c r="F311" s="83">
        <f t="shared" si="67"/>
        <v>1921.7999999999997</v>
      </c>
      <c r="G311" s="102"/>
      <c r="H311" s="20"/>
      <c r="I311" s="20"/>
      <c r="J311" s="108"/>
      <c r="K311" s="108"/>
      <c r="L311" s="79"/>
    </row>
    <row r="312" spans="1:12" s="17" customFormat="1" x14ac:dyDescent="0.25">
      <c r="A312" s="80" t="s">
        <v>933</v>
      </c>
      <c r="B312" s="49" t="s">
        <v>945</v>
      </c>
      <c r="C312" s="80" t="s">
        <v>892</v>
      </c>
      <c r="D312" s="7">
        <v>2508.39</v>
      </c>
      <c r="E312" s="5">
        <f t="shared" si="66"/>
        <v>501.68</v>
      </c>
      <c r="F312" s="83">
        <f t="shared" si="67"/>
        <v>3010.0699999999997</v>
      </c>
      <c r="G312" s="102"/>
      <c r="H312" s="20"/>
      <c r="I312" s="20"/>
      <c r="J312" s="108"/>
      <c r="K312" s="108"/>
      <c r="L312" s="79"/>
    </row>
    <row r="313" spans="1:12" s="17" customFormat="1" x14ac:dyDescent="0.25">
      <c r="A313" s="80" t="s">
        <v>934</v>
      </c>
      <c r="B313" s="49" t="s">
        <v>946</v>
      </c>
      <c r="C313" s="80" t="s">
        <v>904</v>
      </c>
      <c r="D313" s="7">
        <v>856.92000000000007</v>
      </c>
      <c r="E313" s="5">
        <f t="shared" si="66"/>
        <v>171.38</v>
      </c>
      <c r="F313" s="83">
        <f t="shared" si="67"/>
        <v>1028.3000000000002</v>
      </c>
      <c r="G313" s="102"/>
      <c r="H313" s="20"/>
      <c r="I313" s="20"/>
      <c r="J313" s="108"/>
      <c r="K313" s="108"/>
      <c r="L313" s="79"/>
    </row>
    <row r="314" spans="1:12" s="17" customFormat="1" x14ac:dyDescent="0.25">
      <c r="A314" s="80" t="s">
        <v>935</v>
      </c>
      <c r="B314" s="49" t="s">
        <v>38</v>
      </c>
      <c r="C314" s="80" t="s">
        <v>904</v>
      </c>
      <c r="D314" s="7">
        <v>744.57999999999993</v>
      </c>
      <c r="E314" s="5">
        <f t="shared" si="66"/>
        <v>148.91999999999999</v>
      </c>
      <c r="F314" s="83">
        <f t="shared" si="67"/>
        <v>893.49999999999989</v>
      </c>
      <c r="G314" s="102"/>
      <c r="H314" s="20"/>
      <c r="I314" s="20"/>
      <c r="J314" s="108"/>
      <c r="K314" s="108"/>
      <c r="L314" s="79"/>
    </row>
    <row r="315" spans="1:12" s="17" customFormat="1" x14ac:dyDescent="0.25">
      <c r="A315" s="9" t="s">
        <v>936</v>
      </c>
      <c r="B315" s="49" t="s">
        <v>948</v>
      </c>
      <c r="C315" s="80" t="s">
        <v>904</v>
      </c>
      <c r="D315" s="7">
        <v>856.92000000000007</v>
      </c>
      <c r="E315" s="5">
        <f t="shared" si="66"/>
        <v>171.38</v>
      </c>
      <c r="F315" s="83">
        <f t="shared" si="67"/>
        <v>1028.3000000000002</v>
      </c>
      <c r="G315" s="102"/>
      <c r="H315" s="20"/>
      <c r="I315" s="20"/>
      <c r="J315" s="108"/>
      <c r="K315" s="108"/>
      <c r="L315" s="79"/>
    </row>
    <row r="316" spans="1:12" s="17" customFormat="1" ht="34.5" x14ac:dyDescent="0.25">
      <c r="A316" s="80" t="s">
        <v>937</v>
      </c>
      <c r="B316" s="49" t="s">
        <v>1023</v>
      </c>
      <c r="C316" s="80"/>
      <c r="D316" s="7">
        <v>13958.76</v>
      </c>
      <c r="E316" s="5">
        <f t="shared" si="66"/>
        <v>2791.75</v>
      </c>
      <c r="F316" s="83">
        <f t="shared" si="67"/>
        <v>16750.510000000002</v>
      </c>
      <c r="G316" s="102"/>
      <c r="H316" s="20"/>
      <c r="I316" s="20"/>
      <c r="J316" s="108"/>
      <c r="K316" s="108"/>
      <c r="L316" s="79"/>
    </row>
    <row r="317" spans="1:12" s="17" customFormat="1" x14ac:dyDescent="0.25">
      <c r="A317" s="80" t="s">
        <v>938</v>
      </c>
      <c r="B317" s="49" t="s">
        <v>895</v>
      </c>
      <c r="C317" s="80" t="s">
        <v>887</v>
      </c>
      <c r="D317" s="7">
        <v>4277.4400000000005</v>
      </c>
      <c r="E317" s="5">
        <f t="shared" si="66"/>
        <v>855.49</v>
      </c>
      <c r="F317" s="83">
        <f t="shared" si="67"/>
        <v>5132.93</v>
      </c>
      <c r="G317" s="102"/>
      <c r="H317" s="20"/>
      <c r="I317" s="20"/>
      <c r="J317" s="108"/>
      <c r="K317" s="108"/>
      <c r="L317" s="79"/>
    </row>
    <row r="318" spans="1:12" s="17" customFormat="1" x14ac:dyDescent="0.25">
      <c r="A318" s="80" t="s">
        <v>939</v>
      </c>
      <c r="B318" s="49" t="s">
        <v>890</v>
      </c>
      <c r="C318" s="80" t="s">
        <v>891</v>
      </c>
      <c r="D318" s="7">
        <v>3113.01</v>
      </c>
      <c r="E318" s="5">
        <f t="shared" si="66"/>
        <v>622.6</v>
      </c>
      <c r="F318" s="83">
        <f t="shared" si="67"/>
        <v>3735.61</v>
      </c>
      <c r="G318" s="102"/>
      <c r="H318" s="20"/>
      <c r="I318" s="20"/>
      <c r="J318" s="108"/>
      <c r="K318" s="108"/>
      <c r="L318" s="79"/>
    </row>
    <row r="319" spans="1:12" s="17" customFormat="1" x14ac:dyDescent="0.25">
      <c r="A319" s="80" t="s">
        <v>940</v>
      </c>
      <c r="B319" s="49" t="s">
        <v>888</v>
      </c>
      <c r="C319" s="80" t="s">
        <v>889</v>
      </c>
      <c r="D319" s="7">
        <v>1601.4999999999998</v>
      </c>
      <c r="E319" s="5">
        <f t="shared" si="66"/>
        <v>320.3</v>
      </c>
      <c r="F319" s="83">
        <f t="shared" si="67"/>
        <v>1921.7999999999997</v>
      </c>
      <c r="G319" s="102"/>
      <c r="H319" s="20"/>
      <c r="I319" s="20"/>
      <c r="J319" s="108"/>
      <c r="K319" s="108"/>
      <c r="L319" s="79"/>
    </row>
    <row r="320" spans="1:12" s="17" customFormat="1" x14ac:dyDescent="0.25">
      <c r="A320" s="80" t="s">
        <v>941</v>
      </c>
      <c r="B320" s="49" t="s">
        <v>945</v>
      </c>
      <c r="C320" s="80" t="s">
        <v>892</v>
      </c>
      <c r="D320" s="7">
        <v>2508.39</v>
      </c>
      <c r="E320" s="5">
        <f t="shared" si="66"/>
        <v>501.68</v>
      </c>
      <c r="F320" s="83">
        <f t="shared" si="67"/>
        <v>3010.0699999999997</v>
      </c>
      <c r="G320" s="102"/>
      <c r="H320" s="20"/>
      <c r="I320" s="20"/>
      <c r="J320" s="108"/>
      <c r="K320" s="108"/>
      <c r="L320" s="79"/>
    </row>
    <row r="321" spans="1:12" s="17" customFormat="1" x14ac:dyDescent="0.25">
      <c r="A321" s="9" t="s">
        <v>942</v>
      </c>
      <c r="B321" s="49" t="s">
        <v>946</v>
      </c>
      <c r="C321" s="80" t="s">
        <v>904</v>
      </c>
      <c r="D321" s="7">
        <v>856.92000000000007</v>
      </c>
      <c r="E321" s="5">
        <f t="shared" si="66"/>
        <v>171.38</v>
      </c>
      <c r="F321" s="83">
        <f t="shared" si="67"/>
        <v>1028.3000000000002</v>
      </c>
      <c r="G321" s="102"/>
      <c r="H321" s="20"/>
      <c r="I321" s="20"/>
      <c r="J321" s="108"/>
      <c r="K321" s="108"/>
      <c r="L321" s="79"/>
    </row>
    <row r="322" spans="1:12" s="17" customFormat="1" x14ac:dyDescent="0.25">
      <c r="A322" s="80" t="s">
        <v>943</v>
      </c>
      <c r="B322" s="49" t="s">
        <v>40</v>
      </c>
      <c r="C322" s="80" t="s">
        <v>904</v>
      </c>
      <c r="D322" s="7">
        <v>744.57999999999993</v>
      </c>
      <c r="E322" s="5">
        <f t="shared" si="66"/>
        <v>148.91999999999999</v>
      </c>
      <c r="F322" s="83">
        <f t="shared" si="67"/>
        <v>893.49999999999989</v>
      </c>
      <c r="G322" s="102"/>
      <c r="H322" s="20"/>
      <c r="I322" s="20"/>
      <c r="J322" s="108"/>
      <c r="K322" s="108"/>
      <c r="L322" s="79"/>
    </row>
    <row r="323" spans="1:12" s="17" customFormat="1" x14ac:dyDescent="0.25">
      <c r="A323" s="80" t="s">
        <v>944</v>
      </c>
      <c r="B323" s="49" t="s">
        <v>948</v>
      </c>
      <c r="C323" s="80" t="s">
        <v>904</v>
      </c>
      <c r="D323" s="7">
        <v>856.92000000000007</v>
      </c>
      <c r="E323" s="5">
        <f t="shared" si="66"/>
        <v>171.38</v>
      </c>
      <c r="F323" s="83">
        <f t="shared" si="67"/>
        <v>1028.3000000000002</v>
      </c>
      <c r="G323" s="102"/>
      <c r="H323" s="20"/>
      <c r="I323" s="20"/>
      <c r="J323" s="108"/>
      <c r="K323" s="108"/>
      <c r="L323" s="79"/>
    </row>
    <row r="324" spans="1:12" ht="31.5" customHeight="1" x14ac:dyDescent="0.25">
      <c r="A324" s="46" t="s">
        <v>8</v>
      </c>
      <c r="B324" s="21" t="s">
        <v>89</v>
      </c>
      <c r="C324" s="124" t="s">
        <v>299</v>
      </c>
      <c r="D324" s="125"/>
      <c r="E324" s="125"/>
      <c r="F324" s="126"/>
      <c r="G324" s="102"/>
      <c r="H324" s="20"/>
      <c r="I324" s="4"/>
      <c r="J324" s="79"/>
    </row>
    <row r="325" spans="1:12" ht="31.5" customHeight="1" x14ac:dyDescent="0.25">
      <c r="A325" s="46" t="s">
        <v>15</v>
      </c>
      <c r="B325" s="21" t="s">
        <v>90</v>
      </c>
      <c r="C325" s="124" t="s">
        <v>299</v>
      </c>
      <c r="D325" s="125"/>
      <c r="E325" s="125"/>
      <c r="F325" s="126"/>
      <c r="G325" s="102"/>
      <c r="H325" s="20"/>
      <c r="I325" s="4"/>
      <c r="J325" s="79"/>
    </row>
    <row r="326" spans="1:12" ht="31.5" customHeight="1" x14ac:dyDescent="0.25">
      <c r="A326" s="46" t="s">
        <v>16</v>
      </c>
      <c r="B326" s="21" t="s">
        <v>91</v>
      </c>
      <c r="C326" s="124" t="s">
        <v>299</v>
      </c>
      <c r="D326" s="125"/>
      <c r="E326" s="125"/>
      <c r="F326" s="126"/>
      <c r="G326" s="102"/>
      <c r="H326" s="20"/>
      <c r="I326" s="4"/>
      <c r="J326" s="79"/>
    </row>
    <row r="327" spans="1:12" ht="31.5" x14ac:dyDescent="0.25">
      <c r="A327" s="46" t="s">
        <v>17</v>
      </c>
      <c r="B327" s="21" t="s">
        <v>92</v>
      </c>
      <c r="C327" s="135"/>
      <c r="D327" s="136"/>
      <c r="E327" s="136"/>
      <c r="F327" s="137"/>
      <c r="G327" s="102"/>
      <c r="H327" s="20"/>
      <c r="I327" s="4"/>
      <c r="J327" s="79"/>
    </row>
    <row r="328" spans="1:12" s="4" customFormat="1" x14ac:dyDescent="0.25">
      <c r="A328" s="59" t="s">
        <v>187</v>
      </c>
      <c r="B328" s="60" t="s">
        <v>515</v>
      </c>
      <c r="C328" s="143"/>
      <c r="D328" s="144"/>
      <c r="E328" s="144"/>
      <c r="F328" s="145"/>
      <c r="G328" s="102"/>
      <c r="H328" s="20"/>
      <c r="J328" s="79"/>
    </row>
    <row r="329" spans="1:12" s="4" customFormat="1" x14ac:dyDescent="0.25">
      <c r="A329" s="59" t="s">
        <v>188</v>
      </c>
      <c r="B329" s="5" t="s">
        <v>116</v>
      </c>
      <c r="C329" s="75" t="s">
        <v>11</v>
      </c>
      <c r="D329" s="24">
        <v>807.2</v>
      </c>
      <c r="E329" s="5">
        <f>ROUND(D329*0.2,2)</f>
        <v>161.44</v>
      </c>
      <c r="F329" s="5">
        <f>D329+E329</f>
        <v>968.6400000000001</v>
      </c>
      <c r="G329" s="102"/>
      <c r="H329" s="20"/>
      <c r="I329" s="20"/>
      <c r="J329" s="108"/>
      <c r="K329" s="79"/>
      <c r="L329" s="79"/>
    </row>
    <row r="330" spans="1:12" s="4" customFormat="1" x14ac:dyDescent="0.25">
      <c r="A330" s="59" t="s">
        <v>189</v>
      </c>
      <c r="B330" s="5" t="s">
        <v>117</v>
      </c>
      <c r="C330" s="75" t="s">
        <v>11</v>
      </c>
      <c r="D330" s="24">
        <v>1385.76</v>
      </c>
      <c r="E330" s="5">
        <f>ROUND(D330*0.2,2)</f>
        <v>277.14999999999998</v>
      </c>
      <c r="F330" s="5">
        <f>D330+E330</f>
        <v>1662.9099999999999</v>
      </c>
      <c r="G330" s="102"/>
      <c r="H330" s="20"/>
      <c r="I330" s="20"/>
      <c r="J330" s="108"/>
      <c r="K330" s="79"/>
      <c r="L330" s="79"/>
    </row>
    <row r="331" spans="1:12" s="4" customFormat="1" x14ac:dyDescent="0.25">
      <c r="A331" s="59" t="s">
        <v>190</v>
      </c>
      <c r="B331" s="5" t="s">
        <v>118</v>
      </c>
      <c r="C331" s="75" t="s">
        <v>11</v>
      </c>
      <c r="D331" s="24">
        <v>2217.19</v>
      </c>
      <c r="E331" s="5">
        <f>ROUND(D331*0.2,2)</f>
        <v>443.44</v>
      </c>
      <c r="F331" s="5">
        <f>D331+E331</f>
        <v>2660.63</v>
      </c>
      <c r="G331" s="102"/>
      <c r="H331" s="20"/>
      <c r="I331" s="20"/>
      <c r="J331" s="108"/>
      <c r="K331" s="79"/>
      <c r="L331" s="79"/>
    </row>
    <row r="332" spans="1:12" s="4" customFormat="1" x14ac:dyDescent="0.25">
      <c r="A332" s="59" t="s">
        <v>191</v>
      </c>
      <c r="B332" s="61" t="s">
        <v>119</v>
      </c>
      <c r="C332" s="6" t="s">
        <v>53</v>
      </c>
      <c r="D332" s="24">
        <f>ROUND(41.09*1.072,2)</f>
        <v>44.05</v>
      </c>
      <c r="E332" s="5">
        <f>ROUND(D332*0.2,2)</f>
        <v>8.81</v>
      </c>
      <c r="F332" s="5">
        <f>D332+E332</f>
        <v>52.86</v>
      </c>
      <c r="G332" s="102"/>
      <c r="H332" s="20"/>
      <c r="I332" s="20"/>
      <c r="J332" s="108"/>
      <c r="K332" s="79"/>
      <c r="L332" s="79"/>
    </row>
    <row r="333" spans="1:12" s="4" customFormat="1" x14ac:dyDescent="0.25">
      <c r="A333" s="59" t="s">
        <v>192</v>
      </c>
      <c r="B333" s="5" t="s">
        <v>120</v>
      </c>
      <c r="C333" s="140"/>
      <c r="D333" s="141"/>
      <c r="E333" s="141"/>
      <c r="F333" s="142"/>
      <c r="G333" s="102"/>
      <c r="H333" s="20"/>
      <c r="I333" s="20"/>
      <c r="J333" s="108"/>
      <c r="K333" s="79"/>
      <c r="L333" s="79"/>
    </row>
    <row r="334" spans="1:12" s="4" customFormat="1" x14ac:dyDescent="0.25">
      <c r="A334" s="59" t="s">
        <v>193</v>
      </c>
      <c r="B334" s="61" t="s">
        <v>121</v>
      </c>
      <c r="C334" s="6" t="s">
        <v>11</v>
      </c>
      <c r="D334" s="24">
        <v>6413.83</v>
      </c>
      <c r="E334" s="5">
        <f>ROUND(D334*0.2,2)</f>
        <v>1282.77</v>
      </c>
      <c r="F334" s="5">
        <f>D334+E334</f>
        <v>7696.6</v>
      </c>
      <c r="G334" s="102"/>
      <c r="H334" s="20"/>
      <c r="I334" s="20"/>
      <c r="J334" s="108"/>
      <c r="K334" s="79"/>
      <c r="L334" s="79"/>
    </row>
    <row r="335" spans="1:12" s="4" customFormat="1" x14ac:dyDescent="0.25">
      <c r="A335" s="59" t="s">
        <v>194</v>
      </c>
      <c r="B335" s="61" t="s">
        <v>122</v>
      </c>
      <c r="C335" s="6" t="s">
        <v>11</v>
      </c>
      <c r="D335" s="24">
        <v>615.83999999999992</v>
      </c>
      <c r="E335" s="5">
        <f>ROUND(D335*0.2,2)</f>
        <v>123.17</v>
      </c>
      <c r="F335" s="5">
        <f>D335+E335</f>
        <v>739.00999999999988</v>
      </c>
      <c r="G335" s="102"/>
      <c r="H335" s="20"/>
      <c r="I335" s="20"/>
      <c r="J335" s="108"/>
      <c r="K335" s="79"/>
      <c r="L335" s="79"/>
    </row>
    <row r="336" spans="1:12" s="4" customFormat="1" x14ac:dyDescent="0.25">
      <c r="A336" s="59" t="s">
        <v>195</v>
      </c>
      <c r="B336" s="61" t="s">
        <v>119</v>
      </c>
      <c r="C336" s="6" t="s">
        <v>53</v>
      </c>
      <c r="D336" s="24">
        <f>D332</f>
        <v>44.05</v>
      </c>
      <c r="E336" s="5">
        <f>ROUND(D336*0.2,2)</f>
        <v>8.81</v>
      </c>
      <c r="F336" s="5">
        <f>D336+E336</f>
        <v>52.86</v>
      </c>
      <c r="G336" s="102"/>
      <c r="H336" s="20"/>
      <c r="I336" s="20"/>
      <c r="J336" s="108"/>
      <c r="K336" s="79"/>
      <c r="L336" s="79"/>
    </row>
    <row r="337" spans="1:12" s="4" customFormat="1" ht="15.75" customHeight="1" x14ac:dyDescent="0.25">
      <c r="A337" s="59" t="s">
        <v>196</v>
      </c>
      <c r="B337" s="62" t="s">
        <v>123</v>
      </c>
      <c r="C337" s="140"/>
      <c r="D337" s="141"/>
      <c r="E337" s="141"/>
      <c r="F337" s="142"/>
      <c r="G337" s="102"/>
      <c r="H337" s="20"/>
      <c r="I337" s="20"/>
      <c r="J337" s="108"/>
      <c r="K337" s="79"/>
      <c r="L337" s="79"/>
    </row>
    <row r="338" spans="1:12" s="4" customFormat="1" x14ac:dyDescent="0.25">
      <c r="A338" s="59" t="s">
        <v>197</v>
      </c>
      <c r="B338" s="61" t="s">
        <v>124</v>
      </c>
      <c r="C338" s="6" t="s">
        <v>11</v>
      </c>
      <c r="D338" s="24">
        <v>1351.37</v>
      </c>
      <c r="E338" s="5">
        <f>ROUND(D338*0.2,2)</f>
        <v>270.27</v>
      </c>
      <c r="F338" s="5">
        <f>D338+E338</f>
        <v>1621.6399999999999</v>
      </c>
      <c r="G338" s="102"/>
      <c r="H338" s="20"/>
      <c r="I338" s="20"/>
      <c r="J338" s="108"/>
      <c r="K338" s="79"/>
      <c r="L338" s="79"/>
    </row>
    <row r="339" spans="1:12" s="4" customFormat="1" x14ac:dyDescent="0.25">
      <c r="A339" s="59" t="s">
        <v>198</v>
      </c>
      <c r="B339" s="61" t="s">
        <v>125</v>
      </c>
      <c r="C339" s="6" t="s">
        <v>11</v>
      </c>
      <c r="D339" s="24">
        <v>2106.34</v>
      </c>
      <c r="E339" s="5">
        <f>ROUND(D339*0.2,2)</f>
        <v>421.27</v>
      </c>
      <c r="F339" s="5">
        <f>D339+E339</f>
        <v>2527.61</v>
      </c>
      <c r="G339" s="102"/>
      <c r="H339" s="20"/>
      <c r="I339" s="20"/>
      <c r="J339" s="108"/>
      <c r="K339" s="79"/>
      <c r="L339" s="79"/>
    </row>
    <row r="340" spans="1:12" s="4" customFormat="1" x14ac:dyDescent="0.25">
      <c r="A340" s="59" t="s">
        <v>199</v>
      </c>
      <c r="B340" s="61" t="s">
        <v>119</v>
      </c>
      <c r="C340" s="6" t="s">
        <v>53</v>
      </c>
      <c r="D340" s="24">
        <f>D332</f>
        <v>44.05</v>
      </c>
      <c r="E340" s="5">
        <f>ROUND(D340*0.2,2)</f>
        <v>8.81</v>
      </c>
      <c r="F340" s="5">
        <f>D340+E340</f>
        <v>52.86</v>
      </c>
      <c r="G340" s="102"/>
      <c r="H340" s="20"/>
      <c r="I340" s="20"/>
      <c r="J340" s="108"/>
      <c r="K340" s="79"/>
      <c r="L340" s="79"/>
    </row>
    <row r="341" spans="1:12" s="4" customFormat="1" ht="15.75" customHeight="1" x14ac:dyDescent="0.25">
      <c r="A341" s="59" t="s">
        <v>200</v>
      </c>
      <c r="B341" s="62" t="s">
        <v>126</v>
      </c>
      <c r="C341" s="140"/>
      <c r="D341" s="141"/>
      <c r="E341" s="141"/>
      <c r="F341" s="142"/>
      <c r="G341" s="102"/>
      <c r="H341" s="20"/>
      <c r="I341" s="20"/>
      <c r="J341" s="108"/>
      <c r="K341" s="79"/>
      <c r="L341" s="79"/>
    </row>
    <row r="342" spans="1:12" s="4" customFormat="1" ht="31.5" x14ac:dyDescent="0.25">
      <c r="A342" s="59" t="s">
        <v>201</v>
      </c>
      <c r="B342" s="8" t="s">
        <v>127</v>
      </c>
      <c r="C342" s="6" t="s">
        <v>128</v>
      </c>
      <c r="D342" s="24">
        <v>67.58</v>
      </c>
      <c r="E342" s="5">
        <f t="shared" ref="E342:E378" si="68">ROUND(D342*0.2,2)</f>
        <v>13.52</v>
      </c>
      <c r="F342" s="97">
        <f t="shared" ref="F342:F378" si="69">D342+E342</f>
        <v>81.099999999999994</v>
      </c>
      <c r="G342" s="102"/>
      <c r="H342" s="20"/>
      <c r="I342" s="20"/>
      <c r="J342" s="108"/>
      <c r="K342" s="79"/>
      <c r="L342" s="79"/>
    </row>
    <row r="343" spans="1:12" s="4" customFormat="1" x14ac:dyDescent="0.25">
      <c r="A343" s="59" t="s">
        <v>202</v>
      </c>
      <c r="B343" s="8" t="s">
        <v>129</v>
      </c>
      <c r="C343" s="6" t="s">
        <v>128</v>
      </c>
      <c r="D343" s="24">
        <v>40.53</v>
      </c>
      <c r="E343" s="5">
        <f t="shared" si="68"/>
        <v>8.11</v>
      </c>
      <c r="F343" s="97">
        <f t="shared" si="69"/>
        <v>48.64</v>
      </c>
      <c r="G343" s="102"/>
      <c r="H343" s="20"/>
      <c r="I343" s="20"/>
      <c r="J343" s="108"/>
      <c r="K343" s="79"/>
      <c r="L343" s="79"/>
    </row>
    <row r="344" spans="1:12" s="4" customFormat="1" x14ac:dyDescent="0.25">
      <c r="A344" s="59" t="s">
        <v>203</v>
      </c>
      <c r="B344" s="8" t="s">
        <v>130</v>
      </c>
      <c r="C344" s="6" t="s">
        <v>128</v>
      </c>
      <c r="D344" s="24">
        <v>67.58</v>
      </c>
      <c r="E344" s="5">
        <f t="shared" si="68"/>
        <v>13.52</v>
      </c>
      <c r="F344" s="97">
        <f t="shared" si="69"/>
        <v>81.099999999999994</v>
      </c>
      <c r="G344" s="102"/>
      <c r="H344" s="20"/>
      <c r="I344" s="20"/>
      <c r="J344" s="108"/>
      <c r="K344" s="79"/>
      <c r="L344" s="79"/>
    </row>
    <row r="345" spans="1:12" s="4" customFormat="1" x14ac:dyDescent="0.25">
      <c r="A345" s="59" t="s">
        <v>453</v>
      </c>
      <c r="B345" s="8" t="s">
        <v>131</v>
      </c>
      <c r="C345" s="6" t="s">
        <v>11</v>
      </c>
      <c r="D345" s="24">
        <v>337.87</v>
      </c>
      <c r="E345" s="5">
        <f t="shared" si="68"/>
        <v>67.569999999999993</v>
      </c>
      <c r="F345" s="97">
        <f t="shared" si="69"/>
        <v>405.44</v>
      </c>
      <c r="G345" s="102"/>
      <c r="H345" s="20"/>
      <c r="I345" s="20"/>
      <c r="J345" s="108"/>
      <c r="K345" s="79"/>
      <c r="L345" s="79"/>
    </row>
    <row r="346" spans="1:12" s="4" customFormat="1" x14ac:dyDescent="0.25">
      <c r="A346" s="59" t="s">
        <v>454</v>
      </c>
      <c r="B346" s="8" t="s">
        <v>132</v>
      </c>
      <c r="C346" s="6" t="s">
        <v>128</v>
      </c>
      <c r="D346" s="24">
        <v>304.05</v>
      </c>
      <c r="E346" s="5">
        <f t="shared" si="68"/>
        <v>60.81</v>
      </c>
      <c r="F346" s="97">
        <f t="shared" si="69"/>
        <v>364.86</v>
      </c>
      <c r="G346" s="102"/>
      <c r="H346" s="20"/>
      <c r="I346" s="20"/>
      <c r="J346" s="108"/>
      <c r="K346" s="79"/>
      <c r="L346" s="79"/>
    </row>
    <row r="347" spans="1:12" s="4" customFormat="1" x14ac:dyDescent="0.25">
      <c r="A347" s="59" t="s">
        <v>455</v>
      </c>
      <c r="B347" s="8" t="s">
        <v>133</v>
      </c>
      <c r="C347" s="6" t="s">
        <v>128</v>
      </c>
      <c r="D347" s="24">
        <v>554.30999999999995</v>
      </c>
      <c r="E347" s="5">
        <f t="shared" si="68"/>
        <v>110.86</v>
      </c>
      <c r="F347" s="97">
        <f t="shared" si="69"/>
        <v>665.17</v>
      </c>
      <c r="G347" s="102"/>
      <c r="H347" s="20"/>
      <c r="I347" s="20"/>
      <c r="J347" s="108"/>
      <c r="K347" s="79"/>
      <c r="L347" s="79"/>
    </row>
    <row r="348" spans="1:12" s="4" customFormat="1" x14ac:dyDescent="0.25">
      <c r="A348" s="59" t="s">
        <v>456</v>
      </c>
      <c r="B348" s="8" t="s">
        <v>134</v>
      </c>
      <c r="C348" s="6" t="s">
        <v>11</v>
      </c>
      <c r="D348" s="24">
        <v>202.71</v>
      </c>
      <c r="E348" s="5">
        <f t="shared" si="68"/>
        <v>40.54</v>
      </c>
      <c r="F348" s="97">
        <f t="shared" si="69"/>
        <v>243.25</v>
      </c>
      <c r="G348" s="102"/>
      <c r="H348" s="20"/>
      <c r="I348" s="20"/>
      <c r="J348" s="108"/>
      <c r="K348" s="79"/>
      <c r="L348" s="79"/>
    </row>
    <row r="349" spans="1:12" s="4" customFormat="1" x14ac:dyDescent="0.25">
      <c r="A349" s="59" t="s">
        <v>457</v>
      </c>
      <c r="B349" s="8" t="s">
        <v>135</v>
      </c>
      <c r="C349" s="6" t="s">
        <v>11</v>
      </c>
      <c r="D349" s="24">
        <v>74.34</v>
      </c>
      <c r="E349" s="5">
        <f t="shared" si="68"/>
        <v>14.87</v>
      </c>
      <c r="F349" s="97">
        <f t="shared" si="69"/>
        <v>89.210000000000008</v>
      </c>
      <c r="G349" s="102"/>
      <c r="H349" s="20"/>
      <c r="I349" s="20"/>
      <c r="J349" s="108"/>
      <c r="K349" s="79"/>
      <c r="L349" s="79"/>
    </row>
    <row r="350" spans="1:12" s="4" customFormat="1" x14ac:dyDescent="0.25">
      <c r="A350" s="59" t="s">
        <v>458</v>
      </c>
      <c r="B350" s="8" t="s">
        <v>136</v>
      </c>
      <c r="C350" s="6" t="s">
        <v>11</v>
      </c>
      <c r="D350" s="24">
        <v>168.92</v>
      </c>
      <c r="E350" s="5">
        <f t="shared" si="68"/>
        <v>33.78</v>
      </c>
      <c r="F350" s="97">
        <f t="shared" si="69"/>
        <v>202.7</v>
      </c>
      <c r="G350" s="102"/>
      <c r="H350" s="20"/>
      <c r="I350" s="20"/>
      <c r="J350" s="108"/>
      <c r="K350" s="79"/>
      <c r="L350" s="79"/>
    </row>
    <row r="351" spans="1:12" s="4" customFormat="1" x14ac:dyDescent="0.25">
      <c r="A351" s="59" t="s">
        <v>459</v>
      </c>
      <c r="B351" s="8" t="s">
        <v>137</v>
      </c>
      <c r="C351" s="6" t="s">
        <v>11</v>
      </c>
      <c r="D351" s="24">
        <v>202.71</v>
      </c>
      <c r="E351" s="5">
        <f t="shared" si="68"/>
        <v>40.54</v>
      </c>
      <c r="F351" s="97">
        <f t="shared" si="69"/>
        <v>243.25</v>
      </c>
      <c r="G351" s="102"/>
      <c r="H351" s="20"/>
      <c r="I351" s="20"/>
      <c r="J351" s="108"/>
      <c r="K351" s="79"/>
      <c r="L351" s="79"/>
    </row>
    <row r="352" spans="1:12" s="4" customFormat="1" x14ac:dyDescent="0.25">
      <c r="A352" s="59" t="s">
        <v>460</v>
      </c>
      <c r="B352" s="8" t="s">
        <v>33</v>
      </c>
      <c r="C352" s="6" t="s">
        <v>11</v>
      </c>
      <c r="D352" s="24">
        <v>318.74</v>
      </c>
      <c r="E352" s="5">
        <f t="shared" si="68"/>
        <v>63.75</v>
      </c>
      <c r="F352" s="97">
        <f t="shared" si="69"/>
        <v>382.49</v>
      </c>
      <c r="G352" s="102"/>
      <c r="H352" s="20"/>
      <c r="I352" s="20"/>
      <c r="J352" s="108"/>
      <c r="K352" s="79"/>
      <c r="L352" s="79"/>
    </row>
    <row r="353" spans="1:12" s="4" customFormat="1" x14ac:dyDescent="0.25">
      <c r="A353" s="59" t="s">
        <v>461</v>
      </c>
      <c r="B353" s="8" t="s">
        <v>34</v>
      </c>
      <c r="C353" s="6" t="s">
        <v>11</v>
      </c>
      <c r="D353" s="24">
        <v>415.74</v>
      </c>
      <c r="E353" s="5">
        <f t="shared" si="68"/>
        <v>83.15</v>
      </c>
      <c r="F353" s="97">
        <f t="shared" si="69"/>
        <v>498.89</v>
      </c>
      <c r="G353" s="102"/>
      <c r="H353" s="20"/>
      <c r="I353" s="20"/>
      <c r="J353" s="108"/>
      <c r="K353" s="79"/>
      <c r="L353" s="79"/>
    </row>
    <row r="354" spans="1:12" s="4" customFormat="1" x14ac:dyDescent="0.25">
      <c r="A354" s="59" t="s">
        <v>462</v>
      </c>
      <c r="B354" s="8" t="s">
        <v>35</v>
      </c>
      <c r="C354" s="6" t="s">
        <v>11</v>
      </c>
      <c r="D354" s="24">
        <v>533.52</v>
      </c>
      <c r="E354" s="5">
        <f t="shared" si="68"/>
        <v>106.7</v>
      </c>
      <c r="F354" s="97">
        <f t="shared" si="69"/>
        <v>640.22</v>
      </c>
      <c r="G354" s="102"/>
      <c r="H354" s="20"/>
      <c r="I354" s="20"/>
      <c r="J354" s="108"/>
      <c r="K354" s="79"/>
      <c r="L354" s="79"/>
    </row>
    <row r="355" spans="1:12" s="4" customFormat="1" x14ac:dyDescent="0.25">
      <c r="A355" s="59" t="s">
        <v>463</v>
      </c>
      <c r="B355" s="8" t="s">
        <v>36</v>
      </c>
      <c r="C355" s="6" t="s">
        <v>11</v>
      </c>
      <c r="D355" s="24">
        <v>741.39</v>
      </c>
      <c r="E355" s="5">
        <f t="shared" si="68"/>
        <v>148.28</v>
      </c>
      <c r="F355" s="97">
        <f t="shared" si="69"/>
        <v>889.67</v>
      </c>
      <c r="G355" s="102"/>
      <c r="H355" s="20"/>
      <c r="I355" s="20"/>
      <c r="J355" s="108"/>
      <c r="K355" s="79"/>
      <c r="L355" s="79"/>
    </row>
    <row r="356" spans="1:12" s="4" customFormat="1" x14ac:dyDescent="0.25">
      <c r="A356" s="59" t="s">
        <v>464</v>
      </c>
      <c r="B356" s="8" t="s">
        <v>37</v>
      </c>
      <c r="C356" s="6" t="s">
        <v>11</v>
      </c>
      <c r="D356" s="24">
        <v>318.74</v>
      </c>
      <c r="E356" s="5">
        <f t="shared" si="68"/>
        <v>63.75</v>
      </c>
      <c r="F356" s="97">
        <f t="shared" si="69"/>
        <v>382.49</v>
      </c>
      <c r="G356" s="102"/>
      <c r="H356" s="20"/>
      <c r="I356" s="20"/>
      <c r="J356" s="108"/>
      <c r="K356" s="79"/>
      <c r="L356" s="79"/>
    </row>
    <row r="357" spans="1:12" s="4" customFormat="1" x14ac:dyDescent="0.25">
      <c r="A357" s="59" t="s">
        <v>465</v>
      </c>
      <c r="B357" s="8" t="s">
        <v>38</v>
      </c>
      <c r="C357" s="6" t="s">
        <v>11</v>
      </c>
      <c r="D357" s="24">
        <v>415.74</v>
      </c>
      <c r="E357" s="5">
        <f t="shared" si="68"/>
        <v>83.15</v>
      </c>
      <c r="F357" s="97">
        <f t="shared" si="69"/>
        <v>498.89</v>
      </c>
      <c r="G357" s="102"/>
      <c r="H357" s="20"/>
      <c r="I357" s="20"/>
      <c r="J357" s="108"/>
      <c r="K357" s="79"/>
      <c r="L357" s="79"/>
    </row>
    <row r="358" spans="1:12" s="4" customFormat="1" x14ac:dyDescent="0.25">
      <c r="A358" s="59" t="s">
        <v>466</v>
      </c>
      <c r="B358" s="8" t="s">
        <v>39</v>
      </c>
      <c r="C358" s="6" t="s">
        <v>11</v>
      </c>
      <c r="D358" s="24">
        <v>533.52</v>
      </c>
      <c r="E358" s="5">
        <f t="shared" si="68"/>
        <v>106.7</v>
      </c>
      <c r="F358" s="97">
        <f t="shared" si="69"/>
        <v>640.22</v>
      </c>
      <c r="G358" s="102"/>
      <c r="H358" s="20"/>
      <c r="I358" s="20"/>
      <c r="J358" s="108"/>
      <c r="K358" s="79"/>
      <c r="L358" s="79"/>
    </row>
    <row r="359" spans="1:12" s="4" customFormat="1" x14ac:dyDescent="0.25">
      <c r="A359" s="59" t="s">
        <v>467</v>
      </c>
      <c r="B359" s="8" t="s">
        <v>40</v>
      </c>
      <c r="C359" s="6" t="s">
        <v>11</v>
      </c>
      <c r="D359" s="24">
        <v>741.39</v>
      </c>
      <c r="E359" s="5">
        <f t="shared" si="68"/>
        <v>148.28</v>
      </c>
      <c r="F359" s="97">
        <f t="shared" si="69"/>
        <v>889.67</v>
      </c>
      <c r="G359" s="102"/>
      <c r="H359" s="20"/>
      <c r="I359" s="20"/>
      <c r="J359" s="108"/>
      <c r="K359" s="79"/>
      <c r="L359" s="79"/>
    </row>
    <row r="360" spans="1:12" s="4" customFormat="1" x14ac:dyDescent="0.25">
      <c r="A360" s="59" t="s">
        <v>468</v>
      </c>
      <c r="B360" s="8" t="s">
        <v>138</v>
      </c>
      <c r="C360" s="6" t="s">
        <v>11</v>
      </c>
      <c r="D360" s="24">
        <v>1247.18</v>
      </c>
      <c r="E360" s="5">
        <f t="shared" si="68"/>
        <v>249.44</v>
      </c>
      <c r="F360" s="97">
        <f t="shared" si="69"/>
        <v>1496.6200000000001</v>
      </c>
      <c r="G360" s="102"/>
      <c r="H360" s="20"/>
      <c r="I360" s="20"/>
      <c r="J360" s="108"/>
      <c r="K360" s="79"/>
      <c r="L360" s="79"/>
    </row>
    <row r="361" spans="1:12" s="4" customFormat="1" x14ac:dyDescent="0.25">
      <c r="A361" s="59" t="s">
        <v>469</v>
      </c>
      <c r="B361" s="8" t="s">
        <v>139</v>
      </c>
      <c r="C361" s="6" t="s">
        <v>11</v>
      </c>
      <c r="D361" s="24">
        <v>1940.06</v>
      </c>
      <c r="E361" s="5">
        <f t="shared" si="68"/>
        <v>388.01</v>
      </c>
      <c r="F361" s="97">
        <f t="shared" si="69"/>
        <v>2328.0699999999997</v>
      </c>
      <c r="G361" s="102"/>
      <c r="H361" s="20"/>
      <c r="I361" s="20"/>
      <c r="J361" s="108"/>
      <c r="K361" s="79"/>
      <c r="L361" s="79"/>
    </row>
    <row r="362" spans="1:12" s="4" customFormat="1" x14ac:dyDescent="0.25">
      <c r="A362" s="59" t="s">
        <v>470</v>
      </c>
      <c r="B362" s="8" t="s">
        <v>140</v>
      </c>
      <c r="C362" s="6" t="s">
        <v>11</v>
      </c>
      <c r="D362" s="24">
        <v>5265.87</v>
      </c>
      <c r="E362" s="5">
        <f t="shared" si="68"/>
        <v>1053.17</v>
      </c>
      <c r="F362" s="97">
        <f t="shared" si="69"/>
        <v>6319.04</v>
      </c>
      <c r="G362" s="102"/>
      <c r="H362" s="20"/>
      <c r="I362" s="20"/>
      <c r="J362" s="108"/>
      <c r="K362" s="79"/>
      <c r="L362" s="79"/>
    </row>
    <row r="363" spans="1:12" s="4" customFormat="1" x14ac:dyDescent="0.25">
      <c r="A363" s="59" t="s">
        <v>471</v>
      </c>
      <c r="B363" s="8" t="s">
        <v>141</v>
      </c>
      <c r="C363" s="6" t="s">
        <v>11</v>
      </c>
      <c r="D363" s="24">
        <v>3602.95</v>
      </c>
      <c r="E363" s="5">
        <f t="shared" si="68"/>
        <v>720.59</v>
      </c>
      <c r="F363" s="97">
        <f t="shared" si="69"/>
        <v>4323.54</v>
      </c>
      <c r="G363" s="102"/>
      <c r="H363" s="20"/>
      <c r="I363" s="20"/>
      <c r="J363" s="108"/>
      <c r="K363" s="79"/>
      <c r="L363" s="79"/>
    </row>
    <row r="364" spans="1:12" s="4" customFormat="1" x14ac:dyDescent="0.25">
      <c r="A364" s="59" t="s">
        <v>472</v>
      </c>
      <c r="B364" s="8" t="s">
        <v>142</v>
      </c>
      <c r="C364" s="6" t="s">
        <v>11</v>
      </c>
      <c r="D364" s="24">
        <v>6928.77</v>
      </c>
      <c r="E364" s="5">
        <f t="shared" si="68"/>
        <v>1385.75</v>
      </c>
      <c r="F364" s="97">
        <f t="shared" si="69"/>
        <v>8314.52</v>
      </c>
      <c r="G364" s="102"/>
      <c r="H364" s="20"/>
      <c r="I364" s="20"/>
      <c r="J364" s="108"/>
      <c r="K364" s="79"/>
      <c r="L364" s="79"/>
    </row>
    <row r="365" spans="1:12" s="4" customFormat="1" x14ac:dyDescent="0.25">
      <c r="A365" s="59" t="s">
        <v>473</v>
      </c>
      <c r="B365" s="8" t="s">
        <v>143</v>
      </c>
      <c r="C365" s="6" t="s">
        <v>11</v>
      </c>
      <c r="D365" s="24">
        <v>5265.87</v>
      </c>
      <c r="E365" s="5">
        <f t="shared" si="68"/>
        <v>1053.17</v>
      </c>
      <c r="F365" s="97">
        <f t="shared" si="69"/>
        <v>6319.04</v>
      </c>
      <c r="G365" s="102"/>
      <c r="H365" s="20"/>
      <c r="I365" s="20"/>
      <c r="J365" s="108"/>
      <c r="K365" s="79"/>
      <c r="L365" s="79"/>
    </row>
    <row r="366" spans="1:12" s="4" customFormat="1" x14ac:dyDescent="0.25">
      <c r="A366" s="59" t="s">
        <v>474</v>
      </c>
      <c r="B366" s="8" t="s">
        <v>144</v>
      </c>
      <c r="C366" s="6" t="s">
        <v>11</v>
      </c>
      <c r="D366" s="24">
        <v>67.58</v>
      </c>
      <c r="E366" s="5">
        <f t="shared" si="68"/>
        <v>13.52</v>
      </c>
      <c r="F366" s="97">
        <f t="shared" si="69"/>
        <v>81.099999999999994</v>
      </c>
      <c r="G366" s="102"/>
      <c r="H366" s="20"/>
      <c r="I366" s="20"/>
      <c r="J366" s="108"/>
      <c r="K366" s="79"/>
      <c r="L366" s="79"/>
    </row>
    <row r="367" spans="1:12" s="4" customFormat="1" x14ac:dyDescent="0.25">
      <c r="A367" s="59" t="s">
        <v>475</v>
      </c>
      <c r="B367" s="8" t="s">
        <v>145</v>
      </c>
      <c r="C367" s="6" t="s">
        <v>11</v>
      </c>
      <c r="D367" s="24">
        <v>87.85</v>
      </c>
      <c r="E367" s="5">
        <f t="shared" si="68"/>
        <v>17.57</v>
      </c>
      <c r="F367" s="97">
        <f t="shared" si="69"/>
        <v>105.41999999999999</v>
      </c>
      <c r="G367" s="102"/>
      <c r="H367" s="20"/>
      <c r="I367" s="20"/>
      <c r="J367" s="108"/>
      <c r="K367" s="79"/>
      <c r="L367" s="79"/>
    </row>
    <row r="368" spans="1:12" s="4" customFormat="1" x14ac:dyDescent="0.25">
      <c r="A368" s="59" t="s">
        <v>476</v>
      </c>
      <c r="B368" s="8" t="s">
        <v>146</v>
      </c>
      <c r="C368" s="6" t="s">
        <v>11</v>
      </c>
      <c r="D368" s="24">
        <v>67.58</v>
      </c>
      <c r="E368" s="5">
        <f t="shared" si="68"/>
        <v>13.52</v>
      </c>
      <c r="F368" s="97">
        <f t="shared" si="69"/>
        <v>81.099999999999994</v>
      </c>
      <c r="G368" s="102"/>
      <c r="H368" s="20"/>
      <c r="I368" s="20"/>
      <c r="J368" s="108"/>
      <c r="K368" s="79"/>
      <c r="L368" s="79"/>
    </row>
    <row r="369" spans="1:12" s="4" customFormat="1" x14ac:dyDescent="0.25">
      <c r="A369" s="59" t="s">
        <v>477</v>
      </c>
      <c r="B369" s="8" t="s">
        <v>147</v>
      </c>
      <c r="C369" s="6" t="s">
        <v>148</v>
      </c>
      <c r="D369" s="24">
        <v>284.08</v>
      </c>
      <c r="E369" s="5">
        <f t="shared" si="68"/>
        <v>56.82</v>
      </c>
      <c r="F369" s="97">
        <f t="shared" si="69"/>
        <v>340.9</v>
      </c>
      <c r="G369" s="102"/>
      <c r="H369" s="20"/>
      <c r="I369" s="20"/>
      <c r="J369" s="108"/>
      <c r="K369" s="79"/>
      <c r="L369" s="79"/>
    </row>
    <row r="370" spans="1:12" s="4" customFormat="1" x14ac:dyDescent="0.25">
      <c r="A370" s="59" t="s">
        <v>478</v>
      </c>
      <c r="B370" s="8" t="s">
        <v>149</v>
      </c>
      <c r="C370" s="6" t="s">
        <v>148</v>
      </c>
      <c r="D370" s="24">
        <v>81.09</v>
      </c>
      <c r="E370" s="5">
        <f t="shared" si="68"/>
        <v>16.22</v>
      </c>
      <c r="F370" s="97">
        <f t="shared" si="69"/>
        <v>97.31</v>
      </c>
      <c r="G370" s="102"/>
      <c r="H370" s="20"/>
      <c r="I370" s="20"/>
      <c r="J370" s="108"/>
      <c r="K370" s="79"/>
      <c r="L370" s="79"/>
    </row>
    <row r="371" spans="1:12" s="4" customFormat="1" x14ac:dyDescent="0.25">
      <c r="A371" s="59" t="s">
        <v>479</v>
      </c>
      <c r="B371" s="8" t="s">
        <v>150</v>
      </c>
      <c r="C371" s="6" t="s">
        <v>148</v>
      </c>
      <c r="D371" s="24">
        <v>346.43</v>
      </c>
      <c r="E371" s="5">
        <f t="shared" si="68"/>
        <v>69.290000000000006</v>
      </c>
      <c r="F371" s="97">
        <f t="shared" si="69"/>
        <v>415.72</v>
      </c>
      <c r="G371" s="102"/>
      <c r="H371" s="20"/>
      <c r="I371" s="20"/>
      <c r="J371" s="108"/>
      <c r="K371" s="79"/>
      <c r="L371" s="79"/>
    </row>
    <row r="372" spans="1:12" s="4" customFormat="1" x14ac:dyDescent="0.25">
      <c r="A372" s="59" t="s">
        <v>480</v>
      </c>
      <c r="B372" s="8" t="s">
        <v>151</v>
      </c>
      <c r="C372" s="6" t="s">
        <v>128</v>
      </c>
      <c r="D372" s="24">
        <v>67.58</v>
      </c>
      <c r="E372" s="5">
        <f t="shared" si="68"/>
        <v>13.52</v>
      </c>
      <c r="F372" s="97">
        <f t="shared" si="69"/>
        <v>81.099999999999994</v>
      </c>
      <c r="G372" s="102"/>
      <c r="H372" s="20"/>
      <c r="I372" s="20"/>
      <c r="J372" s="108"/>
      <c r="K372" s="79"/>
      <c r="L372" s="79"/>
    </row>
    <row r="373" spans="1:12" s="4" customFormat="1" x14ac:dyDescent="0.25">
      <c r="A373" s="59" t="s">
        <v>481</v>
      </c>
      <c r="B373" s="8" t="s">
        <v>152</v>
      </c>
      <c r="C373" s="6" t="s">
        <v>11</v>
      </c>
      <c r="D373" s="24">
        <v>103.93</v>
      </c>
      <c r="E373" s="5">
        <f t="shared" si="68"/>
        <v>20.79</v>
      </c>
      <c r="F373" s="97">
        <f t="shared" si="69"/>
        <v>124.72</v>
      </c>
      <c r="G373" s="102"/>
      <c r="H373" s="20"/>
      <c r="I373" s="20"/>
      <c r="J373" s="108"/>
      <c r="K373" s="79"/>
      <c r="L373" s="79"/>
    </row>
    <row r="374" spans="1:12" s="4" customFormat="1" x14ac:dyDescent="0.25">
      <c r="A374" s="59" t="s">
        <v>482</v>
      </c>
      <c r="B374" s="8" t="s">
        <v>153</v>
      </c>
      <c r="C374" s="6" t="s">
        <v>128</v>
      </c>
      <c r="D374" s="24">
        <v>33.770000000000003</v>
      </c>
      <c r="E374" s="5">
        <f t="shared" si="68"/>
        <v>6.75</v>
      </c>
      <c r="F374" s="97">
        <f t="shared" si="69"/>
        <v>40.520000000000003</v>
      </c>
      <c r="G374" s="102"/>
      <c r="H374" s="20"/>
      <c r="I374" s="20"/>
      <c r="J374" s="108"/>
      <c r="K374" s="79"/>
      <c r="L374" s="79"/>
    </row>
    <row r="375" spans="1:12" s="4" customFormat="1" x14ac:dyDescent="0.25">
      <c r="A375" s="59" t="s">
        <v>483</v>
      </c>
      <c r="B375" s="8" t="s">
        <v>154</v>
      </c>
      <c r="C375" s="6" t="s">
        <v>128</v>
      </c>
      <c r="D375" s="24">
        <v>27.03</v>
      </c>
      <c r="E375" s="5">
        <f t="shared" si="68"/>
        <v>5.41</v>
      </c>
      <c r="F375" s="97">
        <f t="shared" si="69"/>
        <v>32.44</v>
      </c>
      <c r="G375" s="102"/>
      <c r="H375" s="20"/>
      <c r="I375" s="20"/>
      <c r="J375" s="108"/>
      <c r="K375" s="79"/>
      <c r="L375" s="79"/>
    </row>
    <row r="376" spans="1:12" s="4" customFormat="1" x14ac:dyDescent="0.25">
      <c r="A376" s="59" t="s">
        <v>484</v>
      </c>
      <c r="B376" s="8" t="s">
        <v>155</v>
      </c>
      <c r="C376" s="6" t="s">
        <v>11</v>
      </c>
      <c r="D376" s="24">
        <v>135.13999999999999</v>
      </c>
      <c r="E376" s="5">
        <f t="shared" si="68"/>
        <v>27.03</v>
      </c>
      <c r="F376" s="97">
        <f t="shared" si="69"/>
        <v>162.16999999999999</v>
      </c>
      <c r="G376" s="102"/>
      <c r="H376" s="20"/>
      <c r="I376" s="20"/>
      <c r="J376" s="108"/>
      <c r="K376" s="79"/>
      <c r="L376" s="79"/>
    </row>
    <row r="377" spans="1:12" s="4" customFormat="1" x14ac:dyDescent="0.25">
      <c r="A377" s="59" t="s">
        <v>485</v>
      </c>
      <c r="B377" s="8" t="s">
        <v>156</v>
      </c>
      <c r="C377" s="6" t="s">
        <v>11</v>
      </c>
      <c r="D377" s="24">
        <v>547.41</v>
      </c>
      <c r="E377" s="5">
        <f t="shared" si="68"/>
        <v>109.48</v>
      </c>
      <c r="F377" s="97">
        <f t="shared" si="69"/>
        <v>656.89</v>
      </c>
      <c r="G377" s="102"/>
      <c r="H377" s="20"/>
      <c r="I377" s="20"/>
      <c r="J377" s="108"/>
      <c r="K377" s="79"/>
      <c r="L377" s="79"/>
    </row>
    <row r="378" spans="1:12" s="4" customFormat="1" x14ac:dyDescent="0.25">
      <c r="A378" s="59" t="s">
        <v>486</v>
      </c>
      <c r="B378" s="8" t="s">
        <v>119</v>
      </c>
      <c r="C378" s="6" t="s">
        <v>53</v>
      </c>
      <c r="D378" s="24">
        <f>D332</f>
        <v>44.05</v>
      </c>
      <c r="E378" s="5">
        <f t="shared" si="68"/>
        <v>8.81</v>
      </c>
      <c r="F378" s="97">
        <f t="shared" si="69"/>
        <v>52.86</v>
      </c>
      <c r="G378" s="102"/>
      <c r="H378" s="20"/>
      <c r="I378" s="20"/>
      <c r="J378" s="108"/>
      <c r="K378" s="79"/>
      <c r="L378" s="79"/>
    </row>
    <row r="379" spans="1:12" s="4" customFormat="1" ht="15.75" customHeight="1" x14ac:dyDescent="0.25">
      <c r="A379" s="59" t="s">
        <v>204</v>
      </c>
      <c r="B379" s="63" t="s">
        <v>157</v>
      </c>
      <c r="C379" s="150"/>
      <c r="D379" s="151"/>
      <c r="E379" s="151"/>
      <c r="F379" s="152"/>
      <c r="G379" s="102"/>
      <c r="H379" s="20"/>
      <c r="J379" s="79"/>
      <c r="K379" s="79"/>
      <c r="L379" s="79"/>
    </row>
    <row r="380" spans="1:12" s="4" customFormat="1" x14ac:dyDescent="0.25">
      <c r="A380" s="59" t="s">
        <v>206</v>
      </c>
      <c r="B380" s="8" t="s">
        <v>158</v>
      </c>
      <c r="C380" s="6" t="s">
        <v>11</v>
      </c>
      <c r="D380" s="24">
        <v>1013.54</v>
      </c>
      <c r="E380" s="5">
        <f t="shared" ref="E380:E385" si="70">ROUND(D380*0.2,2)</f>
        <v>202.71</v>
      </c>
      <c r="F380" s="97">
        <f t="shared" ref="F380:F385" si="71">D380+E380</f>
        <v>1216.25</v>
      </c>
      <c r="G380" s="102"/>
      <c r="H380" s="20"/>
      <c r="I380" s="20"/>
      <c r="J380" s="108"/>
      <c r="K380" s="79"/>
      <c r="L380" s="79"/>
    </row>
    <row r="381" spans="1:12" s="4" customFormat="1" x14ac:dyDescent="0.25">
      <c r="A381" s="59" t="s">
        <v>207</v>
      </c>
      <c r="B381" s="8" t="s">
        <v>159</v>
      </c>
      <c r="C381" s="6" t="s">
        <v>11</v>
      </c>
      <c r="D381" s="24">
        <v>270.27</v>
      </c>
      <c r="E381" s="5">
        <f t="shared" si="70"/>
        <v>54.05</v>
      </c>
      <c r="F381" s="97">
        <f t="shared" si="71"/>
        <v>324.32</v>
      </c>
      <c r="G381" s="102"/>
      <c r="H381" s="20"/>
      <c r="I381" s="20"/>
      <c r="J381" s="108"/>
      <c r="K381" s="79"/>
      <c r="L381" s="79"/>
    </row>
    <row r="382" spans="1:12" s="4" customFormat="1" ht="31.5" x14ac:dyDescent="0.25">
      <c r="A382" s="59" t="s">
        <v>208</v>
      </c>
      <c r="B382" s="8" t="s">
        <v>160</v>
      </c>
      <c r="C382" s="6" t="s">
        <v>11</v>
      </c>
      <c r="D382" s="24">
        <v>1385.76</v>
      </c>
      <c r="E382" s="5">
        <f t="shared" si="70"/>
        <v>277.14999999999998</v>
      </c>
      <c r="F382" s="97">
        <f t="shared" si="71"/>
        <v>1662.9099999999999</v>
      </c>
      <c r="G382" s="102"/>
      <c r="H382" s="20"/>
      <c r="I382" s="20"/>
      <c r="J382" s="108"/>
      <c r="K382" s="79"/>
      <c r="L382" s="79"/>
    </row>
    <row r="383" spans="1:12" s="4" customFormat="1" x14ac:dyDescent="0.25">
      <c r="A383" s="59" t="s">
        <v>209</v>
      </c>
      <c r="B383" s="8" t="s">
        <v>161</v>
      </c>
      <c r="C383" s="6" t="s">
        <v>11</v>
      </c>
      <c r="D383" s="24">
        <v>371.63</v>
      </c>
      <c r="E383" s="5">
        <f t="shared" si="70"/>
        <v>74.33</v>
      </c>
      <c r="F383" s="97">
        <f t="shared" si="71"/>
        <v>445.96</v>
      </c>
      <c r="G383" s="102"/>
      <c r="H383" s="20"/>
      <c r="I383" s="20"/>
      <c r="J383" s="108"/>
      <c r="K383" s="79"/>
      <c r="L383" s="79"/>
    </row>
    <row r="384" spans="1:12" s="4" customFormat="1" x14ac:dyDescent="0.25">
      <c r="A384" s="59" t="s">
        <v>210</v>
      </c>
      <c r="B384" s="8" t="s">
        <v>162</v>
      </c>
      <c r="C384" s="6" t="s">
        <v>11</v>
      </c>
      <c r="D384" s="24">
        <v>2078.63</v>
      </c>
      <c r="E384" s="5">
        <f t="shared" si="70"/>
        <v>415.73</v>
      </c>
      <c r="F384" s="97">
        <f t="shared" si="71"/>
        <v>2494.36</v>
      </c>
      <c r="G384" s="102"/>
      <c r="H384" s="20"/>
      <c r="I384" s="20"/>
      <c r="J384" s="108"/>
      <c r="K384" s="79"/>
      <c r="L384" s="79"/>
    </row>
    <row r="385" spans="1:12" s="20" customFormat="1" x14ac:dyDescent="0.25">
      <c r="A385" s="59" t="s">
        <v>211</v>
      </c>
      <c r="B385" s="8" t="s">
        <v>119</v>
      </c>
      <c r="C385" s="6" t="s">
        <v>53</v>
      </c>
      <c r="D385" s="24">
        <f>D332</f>
        <v>44.05</v>
      </c>
      <c r="E385" s="5">
        <f t="shared" si="70"/>
        <v>8.81</v>
      </c>
      <c r="F385" s="97">
        <f t="shared" si="71"/>
        <v>52.86</v>
      </c>
      <c r="G385" s="102"/>
      <c r="J385" s="108"/>
      <c r="K385" s="79"/>
      <c r="L385" s="79"/>
    </row>
    <row r="386" spans="1:12" s="4" customFormat="1" ht="15.75" customHeight="1" x14ac:dyDescent="0.25">
      <c r="A386" s="59" t="s">
        <v>205</v>
      </c>
      <c r="B386" s="64" t="s">
        <v>163</v>
      </c>
      <c r="C386" s="149"/>
      <c r="D386" s="149"/>
      <c r="E386" s="149"/>
      <c r="F386" s="149"/>
      <c r="G386" s="102"/>
      <c r="H386" s="20"/>
      <c r="J386" s="79"/>
      <c r="K386" s="79"/>
      <c r="L386" s="79"/>
    </row>
    <row r="387" spans="1:12" s="4" customFormat="1" ht="33" customHeight="1" x14ac:dyDescent="0.25">
      <c r="A387" s="59" t="s">
        <v>212</v>
      </c>
      <c r="B387" s="5" t="s">
        <v>163</v>
      </c>
      <c r="C387" s="140" t="s">
        <v>299</v>
      </c>
      <c r="D387" s="141"/>
      <c r="E387" s="141"/>
      <c r="F387" s="142"/>
      <c r="G387" s="102"/>
      <c r="H387" s="20"/>
      <c r="J387" s="79"/>
      <c r="K387" s="79"/>
      <c r="L387" s="79"/>
    </row>
    <row r="388" spans="1:12" s="20" customFormat="1" x14ac:dyDescent="0.25">
      <c r="A388" s="59" t="s">
        <v>213</v>
      </c>
      <c r="B388" s="61" t="s">
        <v>119</v>
      </c>
      <c r="C388" s="76" t="s">
        <v>53</v>
      </c>
      <c r="D388" s="24">
        <f>D332</f>
        <v>44.05</v>
      </c>
      <c r="E388" s="5">
        <f>ROUND(D388*0.2,2)</f>
        <v>8.81</v>
      </c>
      <c r="F388" s="5">
        <f>D388+E388</f>
        <v>52.86</v>
      </c>
      <c r="G388" s="102"/>
      <c r="J388" s="108"/>
      <c r="K388" s="79"/>
      <c r="L388" s="79"/>
    </row>
    <row r="389" spans="1:12" s="4" customFormat="1" x14ac:dyDescent="0.25">
      <c r="A389" s="59" t="s">
        <v>214</v>
      </c>
      <c r="B389" s="63" t="s">
        <v>164</v>
      </c>
      <c r="C389" s="146"/>
      <c r="D389" s="147"/>
      <c r="E389" s="147"/>
      <c r="F389" s="148"/>
      <c r="G389" s="102"/>
      <c r="H389" s="20"/>
      <c r="I389" s="20"/>
      <c r="J389" s="108"/>
      <c r="K389" s="79"/>
      <c r="L389" s="79"/>
    </row>
    <row r="390" spans="1:12" s="4" customFormat="1" x14ac:dyDescent="0.25">
      <c r="A390" s="59" t="s">
        <v>216</v>
      </c>
      <c r="B390" s="65" t="s">
        <v>165</v>
      </c>
      <c r="C390" s="6" t="s">
        <v>128</v>
      </c>
      <c r="D390" s="24">
        <v>199.52</v>
      </c>
      <c r="E390" s="5">
        <f>ROUND(D390*0.2,2)</f>
        <v>39.9</v>
      </c>
      <c r="F390" s="97">
        <f>D390+E390</f>
        <v>239.42000000000002</v>
      </c>
      <c r="G390" s="102"/>
      <c r="H390" s="20"/>
      <c r="I390" s="20"/>
      <c r="J390" s="108"/>
      <c r="K390" s="79"/>
      <c r="L390" s="79"/>
    </row>
    <row r="391" spans="1:12" s="4" customFormat="1" x14ac:dyDescent="0.25">
      <c r="A391" s="59" t="s">
        <v>217</v>
      </c>
      <c r="B391" s="65" t="s">
        <v>166</v>
      </c>
      <c r="C391" s="6" t="s">
        <v>128</v>
      </c>
      <c r="D391" s="24">
        <v>202.92</v>
      </c>
      <c r="E391" s="5">
        <f>ROUND(D391*0.2,2)</f>
        <v>40.58</v>
      </c>
      <c r="F391" s="97">
        <f>D391+E391</f>
        <v>243.5</v>
      </c>
      <c r="G391" s="102"/>
      <c r="H391" s="20"/>
      <c r="I391" s="20"/>
      <c r="J391" s="108"/>
      <c r="K391" s="79"/>
      <c r="L391" s="79"/>
    </row>
    <row r="392" spans="1:12" s="4" customFormat="1" x14ac:dyDescent="0.25">
      <c r="A392" s="59" t="s">
        <v>487</v>
      </c>
      <c r="B392" s="65" t="s">
        <v>167</v>
      </c>
      <c r="C392" s="6" t="s">
        <v>128</v>
      </c>
      <c r="D392" s="24">
        <v>314.58</v>
      </c>
      <c r="E392" s="5">
        <f>ROUND(D392*0.2,2)</f>
        <v>62.92</v>
      </c>
      <c r="F392" s="97">
        <f>D392+E392</f>
        <v>377.5</v>
      </c>
      <c r="G392" s="102"/>
      <c r="H392" s="20"/>
      <c r="I392" s="20"/>
      <c r="J392" s="108"/>
      <c r="K392" s="79"/>
      <c r="L392" s="79"/>
    </row>
    <row r="393" spans="1:12" s="4" customFormat="1" x14ac:dyDescent="0.25">
      <c r="A393" s="59" t="s">
        <v>488</v>
      </c>
      <c r="B393" s="8" t="s">
        <v>168</v>
      </c>
      <c r="C393" s="6" t="s">
        <v>128</v>
      </c>
      <c r="D393" s="24">
        <v>139.08000000000001</v>
      </c>
      <c r="E393" s="5">
        <f>ROUND(D393*0.2,2)</f>
        <v>27.82</v>
      </c>
      <c r="F393" s="97">
        <f>D393+E393</f>
        <v>166.9</v>
      </c>
      <c r="G393" s="102"/>
      <c r="H393" s="20"/>
      <c r="I393" s="20"/>
      <c r="J393" s="108"/>
      <c r="K393" s="79"/>
      <c r="L393" s="79"/>
    </row>
    <row r="394" spans="1:12" s="20" customFormat="1" x14ac:dyDescent="0.25">
      <c r="A394" s="59" t="s">
        <v>489</v>
      </c>
      <c r="B394" s="8" t="s">
        <v>169</v>
      </c>
      <c r="C394" s="6" t="s">
        <v>53</v>
      </c>
      <c r="D394" s="24">
        <f>D332</f>
        <v>44.05</v>
      </c>
      <c r="E394" s="5">
        <f>ROUND(D394*0.2,2)</f>
        <v>8.81</v>
      </c>
      <c r="F394" s="97">
        <f>D394+E394</f>
        <v>52.86</v>
      </c>
      <c r="G394" s="102"/>
      <c r="J394" s="108"/>
      <c r="K394" s="79"/>
      <c r="L394" s="79"/>
    </row>
    <row r="395" spans="1:12" s="4" customFormat="1" ht="18" customHeight="1" x14ac:dyDescent="0.25">
      <c r="A395" s="59" t="s">
        <v>215</v>
      </c>
      <c r="B395" s="48" t="s">
        <v>170</v>
      </c>
      <c r="C395" s="146"/>
      <c r="D395" s="147"/>
      <c r="E395" s="147"/>
      <c r="F395" s="148"/>
      <c r="G395" s="102"/>
      <c r="H395" s="20"/>
      <c r="I395" s="20"/>
      <c r="J395" s="108"/>
      <c r="K395" s="79"/>
      <c r="L395" s="79"/>
    </row>
    <row r="396" spans="1:12" s="4" customFormat="1" x14ac:dyDescent="0.25">
      <c r="A396" s="59" t="s">
        <v>218</v>
      </c>
      <c r="B396" s="65" t="s">
        <v>171</v>
      </c>
      <c r="C396" s="105" t="s">
        <v>11</v>
      </c>
      <c r="D396" s="24">
        <v>1805.81</v>
      </c>
      <c r="E396" s="5">
        <f t="shared" ref="E396:E403" si="72">ROUND(D396*0.2,2)</f>
        <v>361.16</v>
      </c>
      <c r="F396" s="97">
        <f t="shared" ref="F396:F403" si="73">D396+E396</f>
        <v>2166.9699999999998</v>
      </c>
      <c r="G396" s="102"/>
      <c r="H396" s="20"/>
      <c r="I396" s="20"/>
      <c r="J396" s="108"/>
      <c r="K396" s="79"/>
      <c r="L396" s="79"/>
    </row>
    <row r="397" spans="1:12" s="4" customFormat="1" x14ac:dyDescent="0.25">
      <c r="A397" s="59" t="s">
        <v>219</v>
      </c>
      <c r="B397" s="65" t="s">
        <v>172</v>
      </c>
      <c r="C397" s="105" t="s">
        <v>11</v>
      </c>
      <c r="D397" s="24">
        <v>1745.17</v>
      </c>
      <c r="E397" s="5">
        <f t="shared" si="72"/>
        <v>349.03</v>
      </c>
      <c r="F397" s="97">
        <f t="shared" si="73"/>
        <v>2094.1999999999998</v>
      </c>
      <c r="G397" s="102"/>
      <c r="H397" s="20"/>
      <c r="I397" s="20"/>
      <c r="J397" s="108"/>
      <c r="K397" s="79"/>
      <c r="L397" s="79"/>
    </row>
    <row r="398" spans="1:12" s="4" customFormat="1" x14ac:dyDescent="0.25">
      <c r="A398" s="59" t="s">
        <v>220</v>
      </c>
      <c r="B398" s="65" t="s">
        <v>173</v>
      </c>
      <c r="C398" s="105" t="s">
        <v>11</v>
      </c>
      <c r="D398" s="24">
        <v>1545.54</v>
      </c>
      <c r="E398" s="5">
        <f t="shared" si="72"/>
        <v>309.11</v>
      </c>
      <c r="F398" s="97">
        <f t="shared" si="73"/>
        <v>1854.65</v>
      </c>
      <c r="G398" s="102"/>
      <c r="H398" s="20"/>
      <c r="I398" s="20"/>
      <c r="J398" s="108"/>
      <c r="K398" s="79"/>
      <c r="L398" s="79"/>
    </row>
    <row r="399" spans="1:12" s="4" customFormat="1" x14ac:dyDescent="0.25">
      <c r="A399" s="59" t="s">
        <v>221</v>
      </c>
      <c r="B399" s="65" t="s">
        <v>174</v>
      </c>
      <c r="C399" s="105" t="s">
        <v>11</v>
      </c>
      <c r="D399" s="24">
        <v>1900.71</v>
      </c>
      <c r="E399" s="5">
        <f t="shared" si="72"/>
        <v>380.14</v>
      </c>
      <c r="F399" s="97">
        <f t="shared" si="73"/>
        <v>2280.85</v>
      </c>
      <c r="G399" s="102"/>
      <c r="H399" s="20"/>
      <c r="I399" s="20"/>
      <c r="J399" s="108"/>
      <c r="K399" s="79"/>
      <c r="L399" s="79"/>
    </row>
    <row r="400" spans="1:12" s="4" customFormat="1" x14ac:dyDescent="0.25">
      <c r="A400" s="59" t="s">
        <v>222</v>
      </c>
      <c r="B400" s="65" t="s">
        <v>175</v>
      </c>
      <c r="C400" s="105" t="s">
        <v>11</v>
      </c>
      <c r="D400" s="24">
        <v>2024.21</v>
      </c>
      <c r="E400" s="5">
        <f t="shared" si="72"/>
        <v>404.84</v>
      </c>
      <c r="F400" s="97">
        <f t="shared" si="73"/>
        <v>2429.0500000000002</v>
      </c>
      <c r="G400" s="102"/>
      <c r="H400" s="20"/>
      <c r="I400" s="20"/>
      <c r="J400" s="108"/>
      <c r="K400" s="79"/>
      <c r="L400" s="79"/>
    </row>
    <row r="401" spans="1:12" s="4" customFormat="1" x14ac:dyDescent="0.25">
      <c r="A401" s="59" t="s">
        <v>490</v>
      </c>
      <c r="B401" s="65" t="s">
        <v>176</v>
      </c>
      <c r="C401" s="105" t="s">
        <v>11</v>
      </c>
      <c r="D401" s="24">
        <v>2502.61</v>
      </c>
      <c r="E401" s="5">
        <f t="shared" si="72"/>
        <v>500.52</v>
      </c>
      <c r="F401" s="97">
        <f t="shared" si="73"/>
        <v>3003.13</v>
      </c>
      <c r="G401" s="102"/>
      <c r="H401" s="20"/>
      <c r="I401" s="20"/>
      <c r="J401" s="108"/>
      <c r="K401" s="79"/>
      <c r="L401" s="79"/>
    </row>
    <row r="402" spans="1:12" s="4" customFormat="1" x14ac:dyDescent="0.25">
      <c r="A402" s="59" t="s">
        <v>491</v>
      </c>
      <c r="B402" s="8" t="s">
        <v>177</v>
      </c>
      <c r="C402" s="6" t="s">
        <v>11</v>
      </c>
      <c r="D402" s="24">
        <v>3283.91</v>
      </c>
      <c r="E402" s="5">
        <f t="shared" si="72"/>
        <v>656.78</v>
      </c>
      <c r="F402" s="97">
        <f t="shared" si="73"/>
        <v>3940.6899999999996</v>
      </c>
      <c r="G402" s="102"/>
      <c r="H402" s="20"/>
      <c r="I402" s="20"/>
      <c r="J402" s="108"/>
      <c r="K402" s="79"/>
      <c r="L402" s="79"/>
    </row>
    <row r="403" spans="1:12" s="20" customFormat="1" x14ac:dyDescent="0.25">
      <c r="A403" s="59" t="s">
        <v>492</v>
      </c>
      <c r="B403" s="8" t="s">
        <v>178</v>
      </c>
      <c r="C403" s="6" t="s">
        <v>53</v>
      </c>
      <c r="D403" s="24">
        <f>D332</f>
        <v>44.05</v>
      </c>
      <c r="E403" s="5">
        <f t="shared" si="72"/>
        <v>8.81</v>
      </c>
      <c r="F403" s="97">
        <f t="shared" si="73"/>
        <v>52.86</v>
      </c>
      <c r="G403" s="102"/>
      <c r="J403" s="108"/>
      <c r="K403" s="79"/>
      <c r="L403" s="79"/>
    </row>
    <row r="404" spans="1:12" s="4" customFormat="1" x14ac:dyDescent="0.25">
      <c r="A404" s="59" t="s">
        <v>223</v>
      </c>
      <c r="B404" s="45" t="s">
        <v>179</v>
      </c>
      <c r="C404" s="129"/>
      <c r="D404" s="130"/>
      <c r="E404" s="130"/>
      <c r="F404" s="131"/>
      <c r="G404" s="102"/>
      <c r="H404" s="20"/>
      <c r="J404" s="79"/>
      <c r="K404" s="79"/>
      <c r="L404" s="79"/>
    </row>
    <row r="405" spans="1:12" s="4" customFormat="1" ht="31.5" x14ac:dyDescent="0.25">
      <c r="A405" s="59" t="s">
        <v>225</v>
      </c>
      <c r="B405" s="45" t="s">
        <v>180</v>
      </c>
      <c r="C405" s="46" t="s">
        <v>11</v>
      </c>
      <c r="D405" s="84">
        <v>399.23</v>
      </c>
      <c r="E405" s="5">
        <f t="shared" ref="E405:E412" si="74">ROUND(D405*0.2,2)</f>
        <v>79.849999999999994</v>
      </c>
      <c r="F405" s="97">
        <f t="shared" ref="F405:F412" si="75">D405+E405</f>
        <v>479.08000000000004</v>
      </c>
      <c r="G405" s="102"/>
      <c r="H405" s="20"/>
      <c r="I405" s="20"/>
      <c r="J405" s="108"/>
      <c r="K405" s="79"/>
      <c r="L405" s="79"/>
    </row>
    <row r="406" spans="1:12" s="4" customFormat="1" ht="31.5" x14ac:dyDescent="0.25">
      <c r="A406" s="59" t="s">
        <v>226</v>
      </c>
      <c r="B406" s="45" t="s">
        <v>181</v>
      </c>
      <c r="C406" s="46" t="s">
        <v>11</v>
      </c>
      <c r="D406" s="84">
        <v>435.54</v>
      </c>
      <c r="E406" s="5">
        <f t="shared" si="74"/>
        <v>87.11</v>
      </c>
      <c r="F406" s="97">
        <f t="shared" si="75"/>
        <v>522.65</v>
      </c>
      <c r="G406" s="102"/>
      <c r="H406" s="20"/>
      <c r="I406" s="20"/>
      <c r="J406" s="108"/>
      <c r="K406" s="79"/>
      <c r="L406" s="79"/>
    </row>
    <row r="407" spans="1:12" s="4" customFormat="1" x14ac:dyDescent="0.25">
      <c r="A407" s="59" t="s">
        <v>227</v>
      </c>
      <c r="B407" s="45" t="s">
        <v>182</v>
      </c>
      <c r="C407" s="46" t="s">
        <v>11</v>
      </c>
      <c r="D407" s="111">
        <v>362.92</v>
      </c>
      <c r="E407" s="5">
        <f t="shared" si="74"/>
        <v>72.58</v>
      </c>
      <c r="F407" s="97">
        <f t="shared" si="75"/>
        <v>435.5</v>
      </c>
      <c r="G407" s="102"/>
      <c r="H407" s="20"/>
      <c r="I407" s="20"/>
      <c r="J407" s="108"/>
      <c r="K407" s="79"/>
      <c r="L407" s="79"/>
    </row>
    <row r="408" spans="1:12" s="4" customFormat="1" x14ac:dyDescent="0.25">
      <c r="A408" s="59" t="s">
        <v>228</v>
      </c>
      <c r="B408" s="45" t="s">
        <v>183</v>
      </c>
      <c r="C408" s="46" t="s">
        <v>11</v>
      </c>
      <c r="D408" s="84">
        <v>435.53</v>
      </c>
      <c r="E408" s="5">
        <f t="shared" si="74"/>
        <v>87.11</v>
      </c>
      <c r="F408" s="97">
        <f t="shared" si="75"/>
        <v>522.64</v>
      </c>
      <c r="G408" s="102"/>
      <c r="H408" s="20"/>
      <c r="I408" s="20"/>
      <c r="J408" s="108"/>
      <c r="K408" s="79"/>
      <c r="L408" s="79"/>
    </row>
    <row r="409" spans="1:12" s="4" customFormat="1" ht="31.5" x14ac:dyDescent="0.25">
      <c r="A409" s="59" t="s">
        <v>229</v>
      </c>
      <c r="B409" s="45" t="s">
        <v>184</v>
      </c>
      <c r="C409" s="46" t="s">
        <v>11</v>
      </c>
      <c r="D409" s="84">
        <v>508.14</v>
      </c>
      <c r="E409" s="5">
        <f t="shared" si="74"/>
        <v>101.63</v>
      </c>
      <c r="F409" s="97">
        <f t="shared" si="75"/>
        <v>609.77</v>
      </c>
      <c r="G409" s="102"/>
      <c r="H409" s="20"/>
      <c r="I409" s="20"/>
      <c r="J409" s="108"/>
      <c r="K409" s="79"/>
      <c r="L409" s="79"/>
    </row>
    <row r="410" spans="1:12" s="4" customFormat="1" ht="31.5" x14ac:dyDescent="0.25">
      <c r="A410" s="59" t="s">
        <v>230</v>
      </c>
      <c r="B410" s="45" t="s">
        <v>185</v>
      </c>
      <c r="C410" s="46" t="s">
        <v>11</v>
      </c>
      <c r="D410" s="84">
        <v>471.83</v>
      </c>
      <c r="E410" s="5">
        <f t="shared" si="74"/>
        <v>94.37</v>
      </c>
      <c r="F410" s="97">
        <f t="shared" si="75"/>
        <v>566.20000000000005</v>
      </c>
      <c r="G410" s="102"/>
      <c r="H410" s="20"/>
      <c r="I410" s="20"/>
      <c r="J410" s="108"/>
      <c r="K410" s="79"/>
      <c r="L410" s="79"/>
    </row>
    <row r="411" spans="1:12" s="20" customFormat="1" x14ac:dyDescent="0.25">
      <c r="A411" s="59" t="s">
        <v>231</v>
      </c>
      <c r="B411" s="82" t="s">
        <v>178</v>
      </c>
      <c r="C411" s="7" t="s">
        <v>53</v>
      </c>
      <c r="D411" s="24">
        <f>D332</f>
        <v>44.05</v>
      </c>
      <c r="E411" s="5">
        <f t="shared" si="74"/>
        <v>8.81</v>
      </c>
      <c r="F411" s="97">
        <f t="shared" si="75"/>
        <v>52.86</v>
      </c>
      <c r="G411" s="102"/>
      <c r="J411" s="108"/>
      <c r="K411" s="79"/>
      <c r="L411" s="79"/>
    </row>
    <row r="412" spans="1:12" s="4" customFormat="1" ht="31.5" x14ac:dyDescent="0.25">
      <c r="A412" s="59" t="s">
        <v>224</v>
      </c>
      <c r="B412" s="45" t="s">
        <v>186</v>
      </c>
      <c r="C412" s="46" t="s">
        <v>11</v>
      </c>
      <c r="D412" s="24">
        <v>329.93</v>
      </c>
      <c r="E412" s="5">
        <f t="shared" si="74"/>
        <v>65.989999999999995</v>
      </c>
      <c r="F412" s="97">
        <f t="shared" si="75"/>
        <v>395.92</v>
      </c>
      <c r="G412" s="102"/>
      <c r="H412" s="20"/>
      <c r="I412" s="20"/>
      <c r="J412" s="108"/>
      <c r="K412" s="79"/>
      <c r="L412" s="79"/>
    </row>
    <row r="413" spans="1:12" ht="35.25" customHeight="1" x14ac:dyDescent="0.25">
      <c r="A413" s="46" t="s">
        <v>18</v>
      </c>
      <c r="B413" s="21" t="s">
        <v>93</v>
      </c>
      <c r="C413" s="124" t="s">
        <v>299</v>
      </c>
      <c r="D413" s="125"/>
      <c r="E413" s="125"/>
      <c r="F413" s="126"/>
      <c r="G413" s="102"/>
      <c r="H413" s="20"/>
      <c r="I413" s="4"/>
      <c r="J413" s="79"/>
    </row>
    <row r="414" spans="1:12" ht="36" customHeight="1" x14ac:dyDescent="0.25">
      <c r="A414" s="46" t="s">
        <v>19</v>
      </c>
      <c r="B414" s="21" t="s">
        <v>94</v>
      </c>
      <c r="C414" s="124" t="s">
        <v>299</v>
      </c>
      <c r="D414" s="125"/>
      <c r="E414" s="125"/>
      <c r="F414" s="126"/>
      <c r="G414" s="102"/>
      <c r="H414" s="20"/>
      <c r="I414" s="4"/>
      <c r="J414" s="79"/>
    </row>
    <row r="415" spans="1:12" ht="18.75" x14ac:dyDescent="0.25">
      <c r="A415" s="22" t="s">
        <v>95</v>
      </c>
      <c r="B415" s="138" t="s">
        <v>96</v>
      </c>
      <c r="C415" s="139"/>
      <c r="D415" s="139"/>
      <c r="E415" s="139"/>
      <c r="F415" s="139"/>
      <c r="G415" s="102"/>
      <c r="H415" s="20"/>
      <c r="I415" s="4"/>
      <c r="J415" s="79"/>
    </row>
    <row r="416" spans="1:12" ht="39.75" customHeight="1" x14ac:dyDescent="0.25">
      <c r="A416" s="30" t="s">
        <v>20</v>
      </c>
      <c r="B416" s="21" t="s">
        <v>97</v>
      </c>
      <c r="C416" s="124" t="s">
        <v>299</v>
      </c>
      <c r="D416" s="125"/>
      <c r="E416" s="125"/>
      <c r="F416" s="126"/>
      <c r="G416" s="102"/>
      <c r="H416" s="20"/>
      <c r="I416" s="4"/>
      <c r="J416" s="79"/>
    </row>
    <row r="417" spans="1:12" ht="31.5" customHeight="1" x14ac:dyDescent="0.25">
      <c r="A417" s="30" t="s">
        <v>21</v>
      </c>
      <c r="B417" s="21" t="s">
        <v>98</v>
      </c>
      <c r="C417" s="124" t="s">
        <v>299</v>
      </c>
      <c r="D417" s="125"/>
      <c r="E417" s="125"/>
      <c r="F417" s="126"/>
      <c r="G417" s="102"/>
      <c r="H417" s="20"/>
      <c r="I417" s="4"/>
      <c r="J417" s="79"/>
    </row>
    <row r="418" spans="1:12" ht="31.5" x14ac:dyDescent="0.25">
      <c r="A418" s="30" t="s">
        <v>22</v>
      </c>
      <c r="B418" s="21" t="s">
        <v>99</v>
      </c>
      <c r="C418" s="124"/>
      <c r="D418" s="125"/>
      <c r="E418" s="125"/>
      <c r="F418" s="126"/>
      <c r="G418" s="102"/>
      <c r="H418" s="20"/>
      <c r="I418" s="4"/>
      <c r="J418" s="79"/>
    </row>
    <row r="419" spans="1:12" ht="33" customHeight="1" x14ac:dyDescent="0.25">
      <c r="A419" s="31" t="s">
        <v>273</v>
      </c>
      <c r="B419" s="134" t="s">
        <v>737</v>
      </c>
      <c r="C419" s="134"/>
      <c r="D419" s="134"/>
      <c r="E419" s="134"/>
      <c r="F419" s="134"/>
      <c r="G419" s="102"/>
      <c r="H419" s="20"/>
      <c r="I419" s="4"/>
      <c r="J419" s="79"/>
    </row>
    <row r="420" spans="1:12" ht="31.5" x14ac:dyDescent="0.25">
      <c r="A420" s="31" t="s">
        <v>274</v>
      </c>
      <c r="B420" s="104" t="s">
        <v>267</v>
      </c>
      <c r="C420" s="7" t="s">
        <v>310</v>
      </c>
      <c r="D420" s="7">
        <v>1250</v>
      </c>
      <c r="E420" s="5">
        <f>ROUND(D420*0.2,2)</f>
        <v>250</v>
      </c>
      <c r="F420" s="83">
        <f>D420+E420</f>
        <v>1500</v>
      </c>
      <c r="G420" s="102"/>
      <c r="H420" s="20"/>
      <c r="I420" s="20"/>
      <c r="J420" s="108"/>
      <c r="K420" s="79"/>
      <c r="L420" s="79"/>
    </row>
    <row r="421" spans="1:12" ht="47.25" x14ac:dyDescent="0.25">
      <c r="A421" s="31" t="s">
        <v>275</v>
      </c>
      <c r="B421" s="104" t="s">
        <v>268</v>
      </c>
      <c r="C421" s="7" t="s">
        <v>310</v>
      </c>
      <c r="D421" s="7">
        <v>1250</v>
      </c>
      <c r="E421" s="5">
        <f>ROUND(D421*0.2,2)</f>
        <v>250</v>
      </c>
      <c r="F421" s="83">
        <f>D421+E421</f>
        <v>1500</v>
      </c>
      <c r="G421" s="102"/>
      <c r="H421" s="20"/>
      <c r="I421" s="20"/>
      <c r="J421" s="108"/>
      <c r="K421" s="79"/>
      <c r="L421" s="79"/>
    </row>
    <row r="422" spans="1:12" ht="47.25" x14ac:dyDescent="0.25">
      <c r="A422" s="31" t="s">
        <v>276</v>
      </c>
      <c r="B422" s="104" t="s">
        <v>269</v>
      </c>
      <c r="C422" s="7" t="s">
        <v>310</v>
      </c>
      <c r="D422" s="7">
        <v>1250</v>
      </c>
      <c r="E422" s="5">
        <f>ROUND(D422*0.2,2)</f>
        <v>250</v>
      </c>
      <c r="F422" s="83">
        <f>D422+E422</f>
        <v>1500</v>
      </c>
      <c r="G422" s="102"/>
      <c r="H422" s="20"/>
      <c r="I422" s="20"/>
      <c r="J422" s="108"/>
      <c r="K422" s="79"/>
      <c r="L422" s="79"/>
    </row>
    <row r="423" spans="1:12" ht="31.5" x14ac:dyDescent="0.25">
      <c r="A423" s="31" t="s">
        <v>277</v>
      </c>
      <c r="B423" s="104" t="s">
        <v>270</v>
      </c>
      <c r="C423" s="7" t="s">
        <v>310</v>
      </c>
      <c r="D423" s="7">
        <v>406</v>
      </c>
      <c r="E423" s="5">
        <f>ROUND(D423*0.2,2)</f>
        <v>81.2</v>
      </c>
      <c r="F423" s="83">
        <f>D423+E423</f>
        <v>487.2</v>
      </c>
      <c r="G423" s="102"/>
      <c r="H423" s="20"/>
      <c r="I423" s="20"/>
      <c r="J423" s="108"/>
      <c r="K423" s="79"/>
      <c r="L423" s="79"/>
    </row>
    <row r="424" spans="1:12" ht="47.25" x14ac:dyDescent="0.25">
      <c r="A424" s="31" t="s">
        <v>278</v>
      </c>
      <c r="B424" s="104" t="s">
        <v>271</v>
      </c>
      <c r="C424" s="7" t="s">
        <v>310</v>
      </c>
      <c r="D424" s="7">
        <v>1250</v>
      </c>
      <c r="E424" s="5">
        <f>ROUND(D424*0.2,2)</f>
        <v>250</v>
      </c>
      <c r="F424" s="83">
        <f>D424+E424</f>
        <v>1500</v>
      </c>
      <c r="G424" s="102"/>
      <c r="H424" s="20"/>
      <c r="I424" s="20"/>
      <c r="J424" s="108"/>
      <c r="K424" s="79"/>
      <c r="L424" s="79"/>
    </row>
    <row r="425" spans="1:12" ht="15.75" customHeight="1" x14ac:dyDescent="0.25">
      <c r="A425" s="31" t="s">
        <v>279</v>
      </c>
      <c r="B425" s="134" t="s">
        <v>272</v>
      </c>
      <c r="C425" s="134"/>
      <c r="D425" s="134"/>
      <c r="E425" s="134"/>
      <c r="F425" s="134"/>
      <c r="G425" s="102"/>
      <c r="H425" s="20"/>
      <c r="I425" s="20"/>
      <c r="J425" s="108"/>
      <c r="K425" s="79"/>
      <c r="L425" s="79"/>
    </row>
    <row r="426" spans="1:12" ht="31.5" x14ac:dyDescent="0.25">
      <c r="A426" s="31" t="s">
        <v>280</v>
      </c>
      <c r="B426" s="104" t="s">
        <v>267</v>
      </c>
      <c r="C426" s="7" t="s">
        <v>310</v>
      </c>
      <c r="D426" s="7">
        <v>3521</v>
      </c>
      <c r="E426" s="5">
        <f t="shared" ref="E426:E431" si="76">ROUND(D426*0.2,2)</f>
        <v>704.2</v>
      </c>
      <c r="F426" s="83">
        <f t="shared" ref="F426:F431" si="77">D426+E426</f>
        <v>4225.2</v>
      </c>
      <c r="G426" s="102"/>
      <c r="H426" s="20"/>
      <c r="I426" s="20"/>
      <c r="J426" s="108"/>
      <c r="K426" s="79"/>
      <c r="L426" s="79"/>
    </row>
    <row r="427" spans="1:12" ht="47.25" x14ac:dyDescent="0.25">
      <c r="A427" s="31" t="s">
        <v>281</v>
      </c>
      <c r="B427" s="104" t="s">
        <v>268</v>
      </c>
      <c r="C427" s="7" t="s">
        <v>310</v>
      </c>
      <c r="D427" s="7">
        <v>1816</v>
      </c>
      <c r="E427" s="5">
        <f t="shared" si="76"/>
        <v>363.2</v>
      </c>
      <c r="F427" s="83">
        <f t="shared" si="77"/>
        <v>2179.1999999999998</v>
      </c>
      <c r="G427" s="102"/>
      <c r="H427" s="20"/>
      <c r="I427" s="20"/>
      <c r="J427" s="108"/>
      <c r="K427" s="79"/>
      <c r="L427" s="79"/>
    </row>
    <row r="428" spans="1:12" ht="47.25" x14ac:dyDescent="0.25">
      <c r="A428" s="31" t="s">
        <v>282</v>
      </c>
      <c r="B428" s="29" t="s">
        <v>269</v>
      </c>
      <c r="C428" s="7" t="s">
        <v>310</v>
      </c>
      <c r="D428" s="7">
        <v>3740</v>
      </c>
      <c r="E428" s="5">
        <f t="shared" si="76"/>
        <v>748</v>
      </c>
      <c r="F428" s="83">
        <f t="shared" si="77"/>
        <v>4488</v>
      </c>
      <c r="G428" s="102"/>
      <c r="H428" s="20"/>
      <c r="I428" s="20"/>
      <c r="J428" s="108"/>
      <c r="K428" s="79"/>
      <c r="L428" s="79"/>
    </row>
    <row r="429" spans="1:12" ht="31.5" x14ac:dyDescent="0.25">
      <c r="A429" s="31" t="s">
        <v>283</v>
      </c>
      <c r="B429" s="29" t="s">
        <v>270</v>
      </c>
      <c r="C429" s="7" t="s">
        <v>310</v>
      </c>
      <c r="D429" s="7">
        <v>406</v>
      </c>
      <c r="E429" s="5">
        <f t="shared" si="76"/>
        <v>81.2</v>
      </c>
      <c r="F429" s="83">
        <f t="shared" si="77"/>
        <v>487.2</v>
      </c>
      <c r="G429" s="102"/>
      <c r="H429" s="20"/>
      <c r="I429" s="20"/>
      <c r="J429" s="108"/>
      <c r="K429" s="79"/>
      <c r="L429" s="79"/>
    </row>
    <row r="430" spans="1:12" ht="47.25" x14ac:dyDescent="0.25">
      <c r="A430" s="31" t="s">
        <v>284</v>
      </c>
      <c r="B430" s="29" t="s">
        <v>271</v>
      </c>
      <c r="C430" s="7" t="s">
        <v>310</v>
      </c>
      <c r="D430" s="7">
        <v>2262</v>
      </c>
      <c r="E430" s="5">
        <f t="shared" si="76"/>
        <v>452.4</v>
      </c>
      <c r="F430" s="83">
        <f t="shared" si="77"/>
        <v>2714.4</v>
      </c>
      <c r="G430" s="102"/>
      <c r="H430" s="20"/>
      <c r="I430" s="20"/>
      <c r="J430" s="108"/>
      <c r="K430" s="79"/>
      <c r="L430" s="79"/>
    </row>
    <row r="431" spans="1:12" x14ac:dyDescent="0.25">
      <c r="A431" s="31" t="s">
        <v>285</v>
      </c>
      <c r="B431" s="8" t="s">
        <v>119</v>
      </c>
      <c r="C431" s="6" t="s">
        <v>53</v>
      </c>
      <c r="D431" s="24">
        <f>D332</f>
        <v>44.05</v>
      </c>
      <c r="E431" s="5">
        <f t="shared" si="76"/>
        <v>8.81</v>
      </c>
      <c r="F431" s="97">
        <f t="shared" si="77"/>
        <v>52.86</v>
      </c>
      <c r="G431" s="102"/>
      <c r="H431" s="20"/>
      <c r="I431" s="20"/>
      <c r="J431" s="108"/>
      <c r="K431" s="79"/>
      <c r="L431" s="79"/>
    </row>
    <row r="432" spans="1:12" ht="31.5" customHeight="1" x14ac:dyDescent="0.25">
      <c r="A432" s="30" t="s">
        <v>23</v>
      </c>
      <c r="B432" s="21" t="s">
        <v>100</v>
      </c>
      <c r="C432" s="124" t="s">
        <v>299</v>
      </c>
      <c r="D432" s="125"/>
      <c r="E432" s="125"/>
      <c r="F432" s="126"/>
      <c r="G432" s="102"/>
      <c r="H432" s="20"/>
      <c r="I432" s="4"/>
      <c r="J432" s="79"/>
      <c r="K432" s="79"/>
      <c r="L432" s="79"/>
    </row>
    <row r="433" spans="1:12" x14ac:dyDescent="0.25">
      <c r="A433" s="30" t="s">
        <v>24</v>
      </c>
      <c r="B433" s="23" t="s">
        <v>101</v>
      </c>
      <c r="C433" s="124"/>
      <c r="D433" s="125"/>
      <c r="E433" s="125"/>
      <c r="F433" s="126"/>
      <c r="G433" s="102"/>
      <c r="H433" s="20"/>
      <c r="I433" s="4"/>
      <c r="J433" s="79"/>
      <c r="K433" s="79"/>
      <c r="L433" s="79"/>
    </row>
    <row r="434" spans="1:12" ht="35.25" customHeight="1" x14ac:dyDescent="0.25">
      <c r="A434" s="9" t="s">
        <v>311</v>
      </c>
      <c r="B434" s="134" t="s">
        <v>266</v>
      </c>
      <c r="C434" s="134"/>
      <c r="D434" s="134"/>
      <c r="E434" s="134"/>
      <c r="F434" s="134"/>
      <c r="G434" s="102"/>
      <c r="H434" s="20"/>
      <c r="I434" s="4"/>
      <c r="J434" s="79"/>
      <c r="K434" s="79"/>
      <c r="L434" s="79"/>
    </row>
    <row r="435" spans="1:12" ht="15.75" customHeight="1" x14ac:dyDescent="0.25">
      <c r="A435" s="9" t="s">
        <v>408</v>
      </c>
      <c r="B435" s="45" t="s">
        <v>811</v>
      </c>
      <c r="C435" s="7" t="s">
        <v>11</v>
      </c>
      <c r="D435" s="7">
        <v>1201.405</v>
      </c>
      <c r="E435" s="5">
        <f>ROUND(D435*0.2,2)</f>
        <v>240.28</v>
      </c>
      <c r="F435" s="7">
        <f>D435+E435</f>
        <v>1441.6849999999999</v>
      </c>
      <c r="G435" s="102"/>
      <c r="H435" s="20"/>
      <c r="I435" s="20"/>
      <c r="J435" s="108"/>
      <c r="K435" s="79"/>
      <c r="L435" s="79"/>
    </row>
    <row r="436" spans="1:12" x14ac:dyDescent="0.25">
      <c r="A436" s="9" t="s">
        <v>409</v>
      </c>
      <c r="B436" s="45" t="s">
        <v>812</v>
      </c>
      <c r="C436" s="7" t="s">
        <v>11</v>
      </c>
      <c r="D436" s="7">
        <v>6880.7849999999999</v>
      </c>
      <c r="E436" s="5">
        <f>ROUND(D436*0.2,2)</f>
        <v>1376.16</v>
      </c>
      <c r="F436" s="7">
        <f>D436+E436</f>
        <v>8256.9449999999997</v>
      </c>
      <c r="G436" s="102"/>
      <c r="H436" s="20"/>
      <c r="I436" s="20"/>
      <c r="J436" s="108"/>
      <c r="K436" s="79"/>
      <c r="L436" s="79"/>
    </row>
    <row r="437" spans="1:12" x14ac:dyDescent="0.25">
      <c r="A437" s="9" t="s">
        <v>410</v>
      </c>
      <c r="B437" s="45" t="s">
        <v>813</v>
      </c>
      <c r="C437" s="7" t="s">
        <v>11</v>
      </c>
      <c r="D437" s="7">
        <v>14242.128000000001</v>
      </c>
      <c r="E437" s="5">
        <f>ROUND(D437*0.2,2)</f>
        <v>2848.43</v>
      </c>
      <c r="F437" s="7">
        <f>D437+E437</f>
        <v>17090.558000000001</v>
      </c>
      <c r="G437" s="102"/>
      <c r="H437" s="20"/>
      <c r="I437" s="20"/>
      <c r="J437" s="108"/>
      <c r="K437" s="79"/>
      <c r="L437" s="79"/>
    </row>
    <row r="438" spans="1:12" ht="33.75" customHeight="1" x14ac:dyDescent="0.25">
      <c r="A438" s="46" t="s">
        <v>25</v>
      </c>
      <c r="B438" s="23" t="s">
        <v>102</v>
      </c>
      <c r="C438" s="124" t="s">
        <v>299</v>
      </c>
      <c r="D438" s="125"/>
      <c r="E438" s="125"/>
      <c r="F438" s="126"/>
      <c r="G438" s="102"/>
      <c r="H438" s="20"/>
      <c r="I438" s="20"/>
      <c r="J438" s="108"/>
      <c r="K438" s="79"/>
      <c r="L438" s="79"/>
    </row>
    <row r="439" spans="1:12" ht="36.75" customHeight="1" x14ac:dyDescent="0.25">
      <c r="A439" s="46" t="s">
        <v>26</v>
      </c>
      <c r="B439" s="23" t="s">
        <v>103</v>
      </c>
      <c r="C439" s="124" t="s">
        <v>299</v>
      </c>
      <c r="D439" s="125"/>
      <c r="E439" s="125"/>
      <c r="F439" s="126"/>
      <c r="G439" s="102"/>
      <c r="H439" s="20"/>
      <c r="I439" s="20"/>
      <c r="J439" s="108"/>
      <c r="K439" s="79"/>
      <c r="L439" s="79"/>
    </row>
    <row r="440" spans="1:12" ht="34.5" x14ac:dyDescent="0.25">
      <c r="A440" s="56" t="s">
        <v>411</v>
      </c>
      <c r="B440" s="66" t="s">
        <v>815</v>
      </c>
      <c r="C440" s="77" t="s">
        <v>59</v>
      </c>
      <c r="D440" s="6">
        <v>147387.93883071464</v>
      </c>
      <c r="E440" s="5">
        <f>ROUND(D440*0.2,2)</f>
        <v>29477.59</v>
      </c>
      <c r="F440" s="5">
        <f>D440+E440</f>
        <v>176865.52883071464</v>
      </c>
      <c r="G440" s="102"/>
      <c r="H440" s="20"/>
      <c r="I440" s="20"/>
      <c r="J440" s="108"/>
      <c r="K440" s="79"/>
      <c r="L440" s="79"/>
    </row>
    <row r="441" spans="1:12" ht="35.25" customHeight="1" x14ac:dyDescent="0.25">
      <c r="A441" s="22" t="s">
        <v>104</v>
      </c>
      <c r="B441" s="67" t="s">
        <v>105</v>
      </c>
      <c r="C441" s="124" t="s">
        <v>299</v>
      </c>
      <c r="D441" s="125"/>
      <c r="E441" s="125"/>
      <c r="F441" s="126"/>
      <c r="G441" s="102"/>
      <c r="H441" s="20"/>
      <c r="I441" s="20"/>
      <c r="J441" s="108"/>
      <c r="K441" s="79"/>
      <c r="L441" s="79"/>
    </row>
    <row r="442" spans="1:12" ht="18.75" x14ac:dyDescent="0.25">
      <c r="A442" s="22" t="s">
        <v>84</v>
      </c>
      <c r="B442" s="67" t="s">
        <v>106</v>
      </c>
      <c r="C442" s="135"/>
      <c r="D442" s="136"/>
      <c r="E442" s="136"/>
      <c r="F442" s="137"/>
      <c r="G442" s="102"/>
      <c r="H442" s="20"/>
      <c r="I442" s="4"/>
      <c r="J442" s="79"/>
      <c r="K442" s="79"/>
      <c r="L442" s="79"/>
    </row>
    <row r="443" spans="1:12" ht="30" customHeight="1" x14ac:dyDescent="0.25">
      <c r="A443" s="46" t="s">
        <v>27</v>
      </c>
      <c r="B443" s="68" t="s">
        <v>107</v>
      </c>
      <c r="C443" s="124" t="s">
        <v>299</v>
      </c>
      <c r="D443" s="125"/>
      <c r="E443" s="125"/>
      <c r="F443" s="126"/>
      <c r="G443" s="102"/>
      <c r="H443" s="20"/>
      <c r="I443" s="4"/>
      <c r="J443" s="79"/>
      <c r="K443" s="79"/>
      <c r="L443" s="79"/>
    </row>
    <row r="444" spans="1:12" ht="30" customHeight="1" x14ac:dyDescent="0.25">
      <c r="A444" s="46" t="s">
        <v>28</v>
      </c>
      <c r="B444" s="68" t="s">
        <v>108</v>
      </c>
      <c r="C444" s="124" t="s">
        <v>299</v>
      </c>
      <c r="D444" s="125"/>
      <c r="E444" s="125"/>
      <c r="F444" s="126"/>
      <c r="G444" s="102"/>
      <c r="H444" s="20"/>
      <c r="I444" s="4"/>
      <c r="J444" s="79"/>
      <c r="K444" s="79"/>
      <c r="L444" s="79"/>
    </row>
    <row r="445" spans="1:12" ht="30" customHeight="1" x14ac:dyDescent="0.25">
      <c r="A445" s="46" t="s">
        <v>29</v>
      </c>
      <c r="B445" s="68" t="s">
        <v>109</v>
      </c>
      <c r="C445" s="124" t="s">
        <v>299</v>
      </c>
      <c r="D445" s="125"/>
      <c r="E445" s="125"/>
      <c r="F445" s="126"/>
      <c r="G445" s="102"/>
      <c r="H445" s="20"/>
      <c r="I445" s="4"/>
      <c r="J445" s="79"/>
      <c r="K445" s="79"/>
      <c r="L445" s="79"/>
    </row>
    <row r="446" spans="1:12" ht="18.75" x14ac:dyDescent="0.25">
      <c r="A446" s="22" t="s">
        <v>110</v>
      </c>
      <c r="B446" s="67" t="s">
        <v>111</v>
      </c>
      <c r="C446" s="124"/>
      <c r="D446" s="125"/>
      <c r="E446" s="125"/>
      <c r="F446" s="126"/>
      <c r="G446" s="102"/>
      <c r="H446" s="20"/>
      <c r="I446" s="4"/>
      <c r="J446" s="79"/>
      <c r="K446" s="79"/>
      <c r="L446" s="79"/>
    </row>
    <row r="447" spans="1:12" ht="30" customHeight="1" x14ac:dyDescent="0.25">
      <c r="A447" s="46" t="s">
        <v>30</v>
      </c>
      <c r="B447" s="68" t="s">
        <v>112</v>
      </c>
      <c r="C447" s="124" t="s">
        <v>299</v>
      </c>
      <c r="D447" s="125"/>
      <c r="E447" s="125"/>
      <c r="F447" s="126"/>
      <c r="G447" s="102"/>
      <c r="H447" s="20"/>
      <c r="I447" s="4"/>
      <c r="J447" s="79"/>
      <c r="K447" s="79"/>
      <c r="L447" s="79"/>
    </row>
    <row r="448" spans="1:12" ht="30" customHeight="1" x14ac:dyDescent="0.25">
      <c r="A448" s="46" t="s">
        <v>31</v>
      </c>
      <c r="B448" s="68" t="s">
        <v>113</v>
      </c>
      <c r="C448" s="124" t="s">
        <v>299</v>
      </c>
      <c r="D448" s="125"/>
      <c r="E448" s="125"/>
      <c r="F448" s="126"/>
      <c r="G448" s="102"/>
      <c r="H448" s="20"/>
      <c r="I448" s="4"/>
      <c r="J448" s="79"/>
      <c r="K448" s="79"/>
      <c r="L448" s="79"/>
    </row>
    <row r="449" spans="1:12" ht="18.75" x14ac:dyDescent="0.25">
      <c r="A449" s="22" t="s">
        <v>47</v>
      </c>
      <c r="B449" s="67" t="s">
        <v>114</v>
      </c>
      <c r="C449" s="124"/>
      <c r="D449" s="125"/>
      <c r="E449" s="125"/>
      <c r="F449" s="126"/>
      <c r="G449" s="102"/>
      <c r="H449" s="20"/>
      <c r="I449" s="4"/>
      <c r="J449" s="79"/>
      <c r="K449" s="79"/>
      <c r="L449" s="79"/>
    </row>
    <row r="450" spans="1:12" ht="15.75" customHeight="1" x14ac:dyDescent="0.25">
      <c r="A450" s="9" t="s">
        <v>312</v>
      </c>
      <c r="B450" s="69" t="s">
        <v>401</v>
      </c>
      <c r="C450" s="129"/>
      <c r="D450" s="130"/>
      <c r="E450" s="130"/>
      <c r="F450" s="131"/>
      <c r="G450" s="102"/>
      <c r="H450" s="20"/>
      <c r="I450" s="4"/>
      <c r="J450" s="79"/>
      <c r="K450" s="79"/>
      <c r="L450" s="79"/>
    </row>
    <row r="451" spans="1:12" ht="50.25" x14ac:dyDescent="0.25">
      <c r="A451" s="9" t="s">
        <v>314</v>
      </c>
      <c r="B451" s="45" t="s">
        <v>816</v>
      </c>
      <c r="C451" s="7" t="s">
        <v>11</v>
      </c>
      <c r="D451" s="7">
        <v>833.33</v>
      </c>
      <c r="E451" s="5">
        <f>ROUND(D451*0.2,2)</f>
        <v>166.67</v>
      </c>
      <c r="F451" s="7">
        <f>D451+E451</f>
        <v>1000</v>
      </c>
      <c r="G451" s="102"/>
      <c r="H451" s="20"/>
      <c r="I451" s="20"/>
      <c r="J451" s="108"/>
      <c r="K451" s="79"/>
      <c r="L451" s="79"/>
    </row>
    <row r="452" spans="1:12" ht="34.5" x14ac:dyDescent="0.25">
      <c r="A452" s="9" t="s">
        <v>315</v>
      </c>
      <c r="B452" s="45" t="s">
        <v>817</v>
      </c>
      <c r="C452" s="7" t="s">
        <v>11</v>
      </c>
      <c r="D452" s="7">
        <v>458.33</v>
      </c>
      <c r="E452" s="5">
        <f>ROUND(D452*0.2,2)</f>
        <v>91.67</v>
      </c>
      <c r="F452" s="7">
        <f>D452+E452</f>
        <v>550</v>
      </c>
      <c r="G452" s="102"/>
      <c r="H452" s="20"/>
      <c r="I452" s="20"/>
      <c r="J452" s="108"/>
      <c r="K452" s="79"/>
      <c r="L452" s="79"/>
    </row>
    <row r="453" spans="1:12" x14ac:dyDescent="0.25">
      <c r="A453" s="9" t="s">
        <v>313</v>
      </c>
      <c r="B453" s="70" t="s">
        <v>316</v>
      </c>
      <c r="C453" s="125"/>
      <c r="D453" s="125"/>
      <c r="E453" s="125"/>
      <c r="F453" s="126"/>
      <c r="G453" s="102"/>
      <c r="H453" s="20"/>
      <c r="I453" s="4"/>
      <c r="J453" s="79"/>
      <c r="K453" s="79"/>
      <c r="L453" s="79"/>
    </row>
    <row r="454" spans="1:12" s="4" customFormat="1" x14ac:dyDescent="0.25">
      <c r="A454" s="9" t="s">
        <v>317</v>
      </c>
      <c r="B454" s="8" t="s">
        <v>949</v>
      </c>
      <c r="C454" s="6" t="s">
        <v>242</v>
      </c>
      <c r="D454" s="109">
        <v>2888.83</v>
      </c>
      <c r="E454" s="5">
        <f t="shared" ref="E454:E469" si="78">ROUND(D454*0.2,2)</f>
        <v>577.77</v>
      </c>
      <c r="F454" s="97">
        <f t="shared" ref="F454:F469" si="79">D454+E454</f>
        <v>3466.6</v>
      </c>
      <c r="G454" s="102"/>
      <c r="H454" s="20"/>
      <c r="I454" s="20"/>
      <c r="J454" s="108"/>
      <c r="K454" s="108"/>
      <c r="L454" s="79"/>
    </row>
    <row r="455" spans="1:12" s="4" customFormat="1" x14ac:dyDescent="0.25">
      <c r="A455" s="9" t="s">
        <v>318</v>
      </c>
      <c r="B455" s="8" t="s">
        <v>950</v>
      </c>
      <c r="C455" s="6" t="s">
        <v>242</v>
      </c>
      <c r="D455" s="109">
        <v>2547.75</v>
      </c>
      <c r="E455" s="5">
        <f t="shared" si="78"/>
        <v>509.55</v>
      </c>
      <c r="F455" s="97">
        <f t="shared" si="79"/>
        <v>3057.3</v>
      </c>
      <c r="G455" s="102"/>
      <c r="H455" s="20"/>
      <c r="I455" s="20"/>
      <c r="J455" s="108"/>
      <c r="K455" s="108"/>
      <c r="L455" s="79"/>
    </row>
    <row r="456" spans="1:12" s="4" customFormat="1" x14ac:dyDescent="0.25">
      <c r="A456" s="9" t="s">
        <v>319</v>
      </c>
      <c r="B456" s="8" t="s">
        <v>951</v>
      </c>
      <c r="C456" s="6" t="s">
        <v>242</v>
      </c>
      <c r="D456" s="109">
        <v>2810.84</v>
      </c>
      <c r="E456" s="5">
        <f t="shared" si="78"/>
        <v>562.16999999999996</v>
      </c>
      <c r="F456" s="97">
        <f t="shared" si="79"/>
        <v>3373.01</v>
      </c>
      <c r="G456" s="102"/>
      <c r="H456" s="20"/>
      <c r="I456" s="20"/>
      <c r="J456" s="108"/>
      <c r="K456" s="108"/>
      <c r="L456" s="79"/>
    </row>
    <row r="457" spans="1:12" s="4" customFormat="1" x14ac:dyDescent="0.25">
      <c r="A457" s="9" t="s">
        <v>320</v>
      </c>
      <c r="B457" s="8" t="s">
        <v>952</v>
      </c>
      <c r="C457" s="6" t="s">
        <v>242</v>
      </c>
      <c r="D457" s="109">
        <v>2816.77</v>
      </c>
      <c r="E457" s="5">
        <f t="shared" si="78"/>
        <v>563.35</v>
      </c>
      <c r="F457" s="97">
        <f t="shared" si="79"/>
        <v>3380.12</v>
      </c>
      <c r="G457" s="102"/>
      <c r="H457" s="20"/>
      <c r="I457" s="20"/>
      <c r="J457" s="108"/>
      <c r="K457" s="108"/>
      <c r="L457" s="79"/>
    </row>
    <row r="458" spans="1:12" s="4" customFormat="1" x14ac:dyDescent="0.25">
      <c r="A458" s="9" t="s">
        <v>321</v>
      </c>
      <c r="B458" s="8" t="s">
        <v>953</v>
      </c>
      <c r="C458" s="6" t="s">
        <v>242</v>
      </c>
      <c r="D458" s="109">
        <v>3303.98</v>
      </c>
      <c r="E458" s="5">
        <f t="shared" si="78"/>
        <v>660.8</v>
      </c>
      <c r="F458" s="97">
        <f t="shared" si="79"/>
        <v>3964.7799999999997</v>
      </c>
      <c r="G458" s="102"/>
      <c r="H458" s="20"/>
      <c r="I458" s="20"/>
      <c r="J458" s="108"/>
      <c r="K458" s="108"/>
      <c r="L458" s="79"/>
    </row>
    <row r="459" spans="1:12" s="4" customFormat="1" x14ac:dyDescent="0.25">
      <c r="A459" s="9" t="s">
        <v>322</v>
      </c>
      <c r="B459" s="8" t="s">
        <v>954</v>
      </c>
      <c r="C459" s="6" t="s">
        <v>242</v>
      </c>
      <c r="D459" s="109">
        <v>2985.48</v>
      </c>
      <c r="E459" s="5">
        <f t="shared" si="78"/>
        <v>597.1</v>
      </c>
      <c r="F459" s="97">
        <f t="shared" si="79"/>
        <v>3582.58</v>
      </c>
      <c r="G459" s="102"/>
      <c r="H459" s="20"/>
      <c r="I459" s="20"/>
      <c r="J459" s="108"/>
      <c r="K459" s="108"/>
      <c r="L459" s="79"/>
    </row>
    <row r="460" spans="1:12" s="4" customFormat="1" x14ac:dyDescent="0.25">
      <c r="A460" s="9" t="s">
        <v>323</v>
      </c>
      <c r="B460" s="8" t="s">
        <v>955</v>
      </c>
      <c r="C460" s="6" t="s">
        <v>242</v>
      </c>
      <c r="D460" s="109">
        <v>3328.96</v>
      </c>
      <c r="E460" s="5">
        <f t="shared" si="78"/>
        <v>665.79</v>
      </c>
      <c r="F460" s="97">
        <f t="shared" si="79"/>
        <v>3994.75</v>
      </c>
      <c r="G460" s="102"/>
      <c r="H460" s="20"/>
      <c r="I460" s="20"/>
      <c r="J460" s="108"/>
      <c r="K460" s="108"/>
      <c r="L460" s="79"/>
    </row>
    <row r="461" spans="1:12" s="4" customFormat="1" x14ac:dyDescent="0.25">
      <c r="A461" s="9" t="s">
        <v>324</v>
      </c>
      <c r="B461" s="8" t="s">
        <v>956</v>
      </c>
      <c r="C461" s="6" t="s">
        <v>242</v>
      </c>
      <c r="D461" s="109">
        <v>3045.64</v>
      </c>
      <c r="E461" s="5">
        <f t="shared" si="78"/>
        <v>609.13</v>
      </c>
      <c r="F461" s="97">
        <f t="shared" si="79"/>
        <v>3654.77</v>
      </c>
      <c r="G461" s="102"/>
      <c r="H461" s="20"/>
      <c r="I461" s="20"/>
      <c r="J461" s="108"/>
      <c r="K461" s="108"/>
      <c r="L461" s="79"/>
    </row>
    <row r="462" spans="1:12" s="4" customFormat="1" x14ac:dyDescent="0.25">
      <c r="A462" s="9" t="s">
        <v>325</v>
      </c>
      <c r="B462" s="8" t="s">
        <v>957</v>
      </c>
      <c r="C462" s="6" t="s">
        <v>242</v>
      </c>
      <c r="D462" s="109">
        <v>2170.04</v>
      </c>
      <c r="E462" s="5">
        <f t="shared" si="78"/>
        <v>434.01</v>
      </c>
      <c r="F462" s="97">
        <f t="shared" si="79"/>
        <v>2604.0500000000002</v>
      </c>
      <c r="G462" s="102"/>
      <c r="H462" s="20"/>
      <c r="I462" s="20"/>
      <c r="J462" s="108"/>
      <c r="K462" s="108"/>
      <c r="L462" s="79"/>
    </row>
    <row r="463" spans="1:12" s="4" customFormat="1" x14ac:dyDescent="0.25">
      <c r="A463" s="9" t="s">
        <v>326</v>
      </c>
      <c r="B463" s="8" t="s">
        <v>958</v>
      </c>
      <c r="C463" s="6" t="s">
        <v>242</v>
      </c>
      <c r="D463" s="109">
        <v>1599.22</v>
      </c>
      <c r="E463" s="5">
        <f t="shared" si="78"/>
        <v>319.83999999999997</v>
      </c>
      <c r="F463" s="97">
        <f t="shared" si="79"/>
        <v>1919.06</v>
      </c>
      <c r="G463" s="102"/>
      <c r="H463" s="20"/>
      <c r="I463" s="20"/>
      <c r="J463" s="108"/>
      <c r="K463" s="108"/>
      <c r="L463" s="79"/>
    </row>
    <row r="464" spans="1:12" s="4" customFormat="1" x14ac:dyDescent="0.25">
      <c r="A464" s="9" t="s">
        <v>327</v>
      </c>
      <c r="B464" s="8" t="s">
        <v>959</v>
      </c>
      <c r="C464" s="6" t="s">
        <v>242</v>
      </c>
      <c r="D464" s="109">
        <v>2737.39</v>
      </c>
      <c r="E464" s="5">
        <f t="shared" si="78"/>
        <v>547.48</v>
      </c>
      <c r="F464" s="97">
        <f t="shared" si="79"/>
        <v>3284.87</v>
      </c>
      <c r="G464" s="102"/>
      <c r="H464" s="20"/>
      <c r="I464" s="20"/>
      <c r="J464" s="108"/>
      <c r="K464" s="108"/>
      <c r="L464" s="79"/>
    </row>
    <row r="465" spans="1:12" s="4" customFormat="1" x14ac:dyDescent="0.25">
      <c r="A465" s="9" t="s">
        <v>328</v>
      </c>
      <c r="B465" s="8" t="s">
        <v>960</v>
      </c>
      <c r="C465" s="6" t="s">
        <v>242</v>
      </c>
      <c r="D465" s="109">
        <v>2525.27</v>
      </c>
      <c r="E465" s="5">
        <f t="shared" si="78"/>
        <v>505.05</v>
      </c>
      <c r="F465" s="97">
        <f t="shared" si="79"/>
        <v>3030.32</v>
      </c>
      <c r="G465" s="102"/>
      <c r="H465" s="20"/>
      <c r="I465" s="20"/>
      <c r="J465" s="108"/>
      <c r="K465" s="108"/>
      <c r="L465" s="79"/>
    </row>
    <row r="466" spans="1:12" s="4" customFormat="1" x14ac:dyDescent="0.25">
      <c r="A466" s="9" t="s">
        <v>329</v>
      </c>
      <c r="B466" s="8" t="s">
        <v>961</v>
      </c>
      <c r="C466" s="6" t="s">
        <v>242</v>
      </c>
      <c r="D466" s="109">
        <v>1317.85</v>
      </c>
      <c r="E466" s="5">
        <f t="shared" si="78"/>
        <v>263.57</v>
      </c>
      <c r="F466" s="97">
        <f t="shared" si="79"/>
        <v>1581.4199999999998</v>
      </c>
      <c r="G466" s="102"/>
      <c r="H466" s="20"/>
      <c r="I466" s="20"/>
      <c r="J466" s="108"/>
      <c r="K466" s="108"/>
      <c r="L466" s="79"/>
    </row>
    <row r="467" spans="1:12" s="4" customFormat="1" x14ac:dyDescent="0.25">
      <c r="A467" s="9" t="s">
        <v>330</v>
      </c>
      <c r="B467" s="8" t="s">
        <v>962</v>
      </c>
      <c r="C467" s="6" t="s">
        <v>242</v>
      </c>
      <c r="D467" s="109">
        <v>2185.09</v>
      </c>
      <c r="E467" s="5">
        <f t="shared" si="78"/>
        <v>437.02</v>
      </c>
      <c r="F467" s="97">
        <f t="shared" si="79"/>
        <v>2622.11</v>
      </c>
      <c r="G467" s="102"/>
      <c r="H467" s="20"/>
      <c r="I467" s="20"/>
      <c r="J467" s="108"/>
      <c r="K467" s="108"/>
      <c r="L467" s="79"/>
    </row>
    <row r="468" spans="1:12" s="4" customFormat="1" x14ac:dyDescent="0.25">
      <c r="A468" s="9" t="s">
        <v>331</v>
      </c>
      <c r="B468" s="8" t="s">
        <v>963</v>
      </c>
      <c r="C468" s="6" t="s">
        <v>242</v>
      </c>
      <c r="D468" s="109">
        <v>2093.38</v>
      </c>
      <c r="E468" s="5">
        <f t="shared" si="78"/>
        <v>418.68</v>
      </c>
      <c r="F468" s="97">
        <f t="shared" si="79"/>
        <v>2512.06</v>
      </c>
      <c r="G468" s="102"/>
      <c r="H468" s="20"/>
      <c r="I468" s="20"/>
      <c r="J468" s="108"/>
      <c r="K468" s="108"/>
      <c r="L468" s="79"/>
    </row>
    <row r="469" spans="1:12" s="4" customFormat="1" x14ac:dyDescent="0.25">
      <c r="A469" s="9" t="s">
        <v>332</v>
      </c>
      <c r="B469" s="8" t="s">
        <v>964</v>
      </c>
      <c r="C469" s="6" t="s">
        <v>242</v>
      </c>
      <c r="D469" s="109">
        <v>2480.79</v>
      </c>
      <c r="E469" s="5">
        <f t="shared" si="78"/>
        <v>496.16</v>
      </c>
      <c r="F469" s="97">
        <f t="shared" si="79"/>
        <v>2976.95</v>
      </c>
      <c r="G469" s="102"/>
      <c r="H469" s="20"/>
      <c r="I469" s="20"/>
      <c r="J469" s="108"/>
      <c r="K469" s="108"/>
      <c r="L469" s="79"/>
    </row>
    <row r="470" spans="1:12" s="4" customFormat="1" x14ac:dyDescent="0.25">
      <c r="A470" s="9" t="s">
        <v>333</v>
      </c>
      <c r="B470" s="8" t="s">
        <v>965</v>
      </c>
      <c r="C470" s="6" t="s">
        <v>242</v>
      </c>
      <c r="D470" s="109">
        <v>1292.8800000000001</v>
      </c>
      <c r="E470" s="5">
        <f t="shared" ref="E470:E486" si="80">ROUND(D470*0.2,2)</f>
        <v>258.58</v>
      </c>
      <c r="F470" s="97">
        <f t="shared" ref="F470:F486" si="81">D470+E470</f>
        <v>1551.46</v>
      </c>
      <c r="G470" s="102"/>
      <c r="H470" s="20"/>
      <c r="I470" s="20"/>
      <c r="J470" s="108"/>
      <c r="K470" s="108"/>
      <c r="L470" s="79"/>
    </row>
    <row r="471" spans="1:12" s="4" customFormat="1" x14ac:dyDescent="0.25">
      <c r="A471" s="9" t="s">
        <v>334</v>
      </c>
      <c r="B471" s="8" t="s">
        <v>966</v>
      </c>
      <c r="C471" s="6" t="s">
        <v>242</v>
      </c>
      <c r="D471" s="109">
        <v>1410.63</v>
      </c>
      <c r="E471" s="5">
        <f t="shared" si="80"/>
        <v>282.13</v>
      </c>
      <c r="F471" s="97">
        <f t="shared" si="81"/>
        <v>1692.7600000000002</v>
      </c>
      <c r="G471" s="102"/>
      <c r="H471" s="20"/>
      <c r="I471" s="20"/>
      <c r="J471" s="108"/>
      <c r="K471" s="108"/>
      <c r="L471" s="79"/>
    </row>
    <row r="472" spans="1:12" s="4" customFormat="1" x14ac:dyDescent="0.25">
      <c r="A472" s="9" t="s">
        <v>335</v>
      </c>
      <c r="B472" s="8" t="s">
        <v>967</v>
      </c>
      <c r="C472" s="6" t="s">
        <v>242</v>
      </c>
      <c r="D472" s="109">
        <v>1528.72</v>
      </c>
      <c r="E472" s="5">
        <f t="shared" si="80"/>
        <v>305.74</v>
      </c>
      <c r="F472" s="97">
        <f t="shared" si="81"/>
        <v>1834.46</v>
      </c>
      <c r="G472" s="102"/>
      <c r="H472" s="20"/>
      <c r="I472" s="20"/>
      <c r="J472" s="108"/>
      <c r="K472" s="108"/>
      <c r="L472" s="79"/>
    </row>
    <row r="473" spans="1:12" s="4" customFormat="1" x14ac:dyDescent="0.25">
      <c r="A473" s="9" t="s">
        <v>336</v>
      </c>
      <c r="B473" s="8" t="s">
        <v>968</v>
      </c>
      <c r="C473" s="6" t="s">
        <v>242</v>
      </c>
      <c r="D473" s="109">
        <v>1425.26</v>
      </c>
      <c r="E473" s="5">
        <f t="shared" si="80"/>
        <v>285.05</v>
      </c>
      <c r="F473" s="97">
        <f t="shared" si="81"/>
        <v>1710.31</v>
      </c>
      <c r="G473" s="102"/>
      <c r="H473" s="20"/>
      <c r="I473" s="20"/>
      <c r="J473" s="108"/>
      <c r="K473" s="108"/>
      <c r="L473" s="79"/>
    </row>
    <row r="474" spans="1:12" s="4" customFormat="1" x14ac:dyDescent="0.25">
      <c r="A474" s="9" t="s">
        <v>337</v>
      </c>
      <c r="B474" s="8" t="s">
        <v>1033</v>
      </c>
      <c r="C474" s="6" t="s">
        <v>242</v>
      </c>
      <c r="D474" s="109">
        <v>2209.64</v>
      </c>
      <c r="E474" s="5">
        <f t="shared" si="80"/>
        <v>441.93</v>
      </c>
      <c r="F474" s="97">
        <f t="shared" si="81"/>
        <v>2651.5699999999997</v>
      </c>
      <c r="G474" s="102"/>
      <c r="H474" s="20"/>
      <c r="I474" s="20"/>
      <c r="J474" s="108"/>
      <c r="K474" s="108"/>
      <c r="L474" s="79"/>
    </row>
    <row r="475" spans="1:12" s="4" customFormat="1" x14ac:dyDescent="0.25">
      <c r="A475" s="9" t="s">
        <v>338</v>
      </c>
      <c r="B475" s="8" t="s">
        <v>969</v>
      </c>
      <c r="C475" s="6" t="s">
        <v>242</v>
      </c>
      <c r="D475" s="109">
        <v>2897.96</v>
      </c>
      <c r="E475" s="5">
        <f t="shared" si="80"/>
        <v>579.59</v>
      </c>
      <c r="F475" s="97">
        <f t="shared" si="81"/>
        <v>3477.55</v>
      </c>
      <c r="G475" s="102"/>
      <c r="H475" s="20"/>
      <c r="I475" s="20"/>
      <c r="J475" s="108"/>
      <c r="K475" s="108"/>
      <c r="L475" s="79"/>
    </row>
    <row r="476" spans="1:12" s="4" customFormat="1" x14ac:dyDescent="0.25">
      <c r="A476" s="9" t="s">
        <v>339</v>
      </c>
      <c r="B476" s="8" t="s">
        <v>970</v>
      </c>
      <c r="C476" s="6" t="s">
        <v>242</v>
      </c>
      <c r="D476" s="109">
        <v>2243.1799999999998</v>
      </c>
      <c r="E476" s="5">
        <f t="shared" si="80"/>
        <v>448.64</v>
      </c>
      <c r="F476" s="97">
        <f t="shared" si="81"/>
        <v>2691.8199999999997</v>
      </c>
      <c r="G476" s="102"/>
      <c r="H476" s="20"/>
      <c r="I476" s="20"/>
      <c r="J476" s="108"/>
      <c r="K476" s="108"/>
      <c r="L476" s="79"/>
    </row>
    <row r="477" spans="1:12" s="4" customFormat="1" x14ac:dyDescent="0.25">
      <c r="A477" s="9" t="s">
        <v>340</v>
      </c>
      <c r="B477" s="8" t="s">
        <v>964</v>
      </c>
      <c r="C477" s="6" t="s">
        <v>242</v>
      </c>
      <c r="D477" s="109">
        <v>2675.51</v>
      </c>
      <c r="E477" s="5">
        <f t="shared" si="80"/>
        <v>535.1</v>
      </c>
      <c r="F477" s="97">
        <f t="shared" si="81"/>
        <v>3210.61</v>
      </c>
      <c r="G477" s="102"/>
      <c r="H477" s="20"/>
      <c r="I477" s="20"/>
      <c r="J477" s="108"/>
      <c r="K477" s="108"/>
      <c r="L477" s="79"/>
    </row>
    <row r="478" spans="1:12" s="4" customFormat="1" x14ac:dyDescent="0.25">
      <c r="A478" s="9" t="s">
        <v>341</v>
      </c>
      <c r="B478" s="8" t="s">
        <v>971</v>
      </c>
      <c r="C478" s="6" t="s">
        <v>242</v>
      </c>
      <c r="D478" s="109">
        <v>3306.64</v>
      </c>
      <c r="E478" s="5">
        <f t="shared" si="80"/>
        <v>661.33</v>
      </c>
      <c r="F478" s="97">
        <f t="shared" si="81"/>
        <v>3967.97</v>
      </c>
      <c r="G478" s="102"/>
      <c r="H478" s="20"/>
      <c r="I478" s="20"/>
      <c r="J478" s="108"/>
      <c r="K478" s="108"/>
      <c r="L478" s="79"/>
    </row>
    <row r="479" spans="1:12" s="4" customFormat="1" x14ac:dyDescent="0.25">
      <c r="A479" s="9" t="s">
        <v>342</v>
      </c>
      <c r="B479" s="8" t="s">
        <v>972</v>
      </c>
      <c r="C479" s="6" t="s">
        <v>242</v>
      </c>
      <c r="D479" s="109">
        <v>3574.92</v>
      </c>
      <c r="E479" s="5">
        <f t="shared" si="80"/>
        <v>714.98</v>
      </c>
      <c r="F479" s="97">
        <f t="shared" si="81"/>
        <v>4289.8999999999996</v>
      </c>
      <c r="G479" s="102"/>
      <c r="H479" s="20"/>
      <c r="I479" s="20"/>
      <c r="J479" s="108"/>
      <c r="K479" s="108"/>
      <c r="L479" s="79"/>
    </row>
    <row r="480" spans="1:12" s="4" customFormat="1" x14ac:dyDescent="0.25">
      <c r="A480" s="9" t="s">
        <v>343</v>
      </c>
      <c r="B480" s="8" t="s">
        <v>973</v>
      </c>
      <c r="C480" s="6" t="s">
        <v>242</v>
      </c>
      <c r="D480" s="109">
        <v>2801.35</v>
      </c>
      <c r="E480" s="5">
        <f t="shared" si="80"/>
        <v>560.27</v>
      </c>
      <c r="F480" s="97">
        <f t="shared" si="81"/>
        <v>3361.62</v>
      </c>
      <c r="G480" s="102"/>
      <c r="H480" s="20"/>
      <c r="I480" s="20"/>
      <c r="J480" s="108"/>
      <c r="K480" s="108"/>
      <c r="L480" s="79"/>
    </row>
    <row r="481" spans="1:12" s="4" customFormat="1" x14ac:dyDescent="0.25">
      <c r="A481" s="9" t="s">
        <v>344</v>
      </c>
      <c r="B481" s="8" t="s">
        <v>974</v>
      </c>
      <c r="C481" s="6" t="s">
        <v>242</v>
      </c>
      <c r="D481" s="109">
        <v>3494.37</v>
      </c>
      <c r="E481" s="5">
        <f t="shared" si="80"/>
        <v>698.87</v>
      </c>
      <c r="F481" s="97">
        <f t="shared" si="81"/>
        <v>4193.24</v>
      </c>
      <c r="G481" s="102"/>
      <c r="H481" s="20"/>
      <c r="I481" s="20"/>
      <c r="J481" s="108"/>
      <c r="K481" s="108"/>
      <c r="L481" s="79"/>
    </row>
    <row r="482" spans="1:12" s="4" customFormat="1" x14ac:dyDescent="0.25">
      <c r="A482" s="9" t="s">
        <v>345</v>
      </c>
      <c r="B482" s="8" t="s">
        <v>975</v>
      </c>
      <c r="C482" s="6" t="s">
        <v>242</v>
      </c>
      <c r="D482" s="109">
        <v>2902.23</v>
      </c>
      <c r="E482" s="5">
        <f t="shared" si="80"/>
        <v>580.45000000000005</v>
      </c>
      <c r="F482" s="97">
        <f t="shared" si="81"/>
        <v>3482.6800000000003</v>
      </c>
      <c r="G482" s="102"/>
      <c r="H482" s="20"/>
      <c r="I482" s="20"/>
      <c r="J482" s="108"/>
      <c r="K482" s="108"/>
      <c r="L482" s="79"/>
    </row>
    <row r="483" spans="1:12" s="4" customFormat="1" x14ac:dyDescent="0.25">
      <c r="A483" s="9" t="s">
        <v>346</v>
      </c>
      <c r="B483" s="8" t="s">
        <v>976</v>
      </c>
      <c r="C483" s="6" t="s">
        <v>242</v>
      </c>
      <c r="D483" s="109">
        <v>3690.65</v>
      </c>
      <c r="E483" s="5">
        <f t="shared" si="80"/>
        <v>738.13</v>
      </c>
      <c r="F483" s="97">
        <f t="shared" si="81"/>
        <v>4428.78</v>
      </c>
      <c r="G483" s="102"/>
      <c r="H483" s="20"/>
      <c r="I483" s="20"/>
      <c r="J483" s="108"/>
      <c r="K483" s="108"/>
      <c r="L483" s="79"/>
    </row>
    <row r="484" spans="1:12" s="4" customFormat="1" x14ac:dyDescent="0.25">
      <c r="A484" s="9" t="s">
        <v>347</v>
      </c>
      <c r="B484" s="8" t="s">
        <v>977</v>
      </c>
      <c r="C484" s="6" t="s">
        <v>242</v>
      </c>
      <c r="D484" s="109">
        <v>3168.24</v>
      </c>
      <c r="E484" s="5">
        <f t="shared" si="80"/>
        <v>633.65</v>
      </c>
      <c r="F484" s="97">
        <f t="shared" si="81"/>
        <v>3801.89</v>
      </c>
      <c r="G484" s="102"/>
      <c r="H484" s="20"/>
      <c r="I484" s="20"/>
      <c r="J484" s="108"/>
      <c r="K484" s="108"/>
      <c r="L484" s="79"/>
    </row>
    <row r="485" spans="1:12" s="4" customFormat="1" x14ac:dyDescent="0.25">
      <c r="A485" s="9" t="s">
        <v>348</v>
      </c>
      <c r="B485" s="8" t="s">
        <v>978</v>
      </c>
      <c r="C485" s="6" t="s">
        <v>242</v>
      </c>
      <c r="D485" s="109">
        <v>3347.89</v>
      </c>
      <c r="E485" s="5">
        <f t="shared" si="80"/>
        <v>669.58</v>
      </c>
      <c r="F485" s="97">
        <f t="shared" si="81"/>
        <v>4017.47</v>
      </c>
      <c r="G485" s="102"/>
      <c r="H485" s="20"/>
      <c r="I485" s="20"/>
      <c r="J485" s="108"/>
      <c r="K485" s="108"/>
      <c r="L485" s="79"/>
    </row>
    <row r="486" spans="1:12" s="4" customFormat="1" ht="31.5" x14ac:dyDescent="0.25">
      <c r="A486" s="9" t="s">
        <v>349</v>
      </c>
      <c r="B486" s="8" t="s">
        <v>979</v>
      </c>
      <c r="C486" s="6" t="s">
        <v>242</v>
      </c>
      <c r="D486" s="109">
        <v>3963.33</v>
      </c>
      <c r="E486" s="5">
        <f t="shared" si="80"/>
        <v>792.67</v>
      </c>
      <c r="F486" s="97">
        <f t="shared" si="81"/>
        <v>4756</v>
      </c>
      <c r="G486" s="102"/>
      <c r="H486" s="20"/>
      <c r="I486" s="20"/>
      <c r="J486" s="108"/>
      <c r="K486" s="108"/>
      <c r="L486" s="79"/>
    </row>
    <row r="487" spans="1:12" s="4" customFormat="1" x14ac:dyDescent="0.25">
      <c r="A487" s="9" t="s">
        <v>350</v>
      </c>
      <c r="B487" s="8" t="s">
        <v>980</v>
      </c>
      <c r="C487" s="6" t="s">
        <v>242</v>
      </c>
      <c r="D487" s="109">
        <v>3133.47</v>
      </c>
      <c r="E487" s="5">
        <f t="shared" ref="E487:E503" si="82">ROUND(D487*0.2,2)</f>
        <v>626.69000000000005</v>
      </c>
      <c r="F487" s="97">
        <f t="shared" ref="F487:F503" si="83">D487+E487</f>
        <v>3760.16</v>
      </c>
      <c r="G487" s="102"/>
      <c r="H487" s="20"/>
      <c r="I487" s="20"/>
      <c r="J487" s="108"/>
      <c r="K487" s="108"/>
      <c r="L487" s="79"/>
    </row>
    <row r="488" spans="1:12" s="4" customFormat="1" x14ac:dyDescent="0.25">
      <c r="A488" s="9" t="s">
        <v>351</v>
      </c>
      <c r="B488" s="8" t="s">
        <v>981</v>
      </c>
      <c r="C488" s="6" t="s">
        <v>242</v>
      </c>
      <c r="D488" s="110">
        <v>2940.95</v>
      </c>
      <c r="E488" s="5">
        <f t="shared" si="82"/>
        <v>588.19000000000005</v>
      </c>
      <c r="F488" s="97">
        <f t="shared" si="83"/>
        <v>3529.14</v>
      </c>
      <c r="G488" s="102"/>
      <c r="H488" s="20"/>
      <c r="I488" s="20"/>
      <c r="J488" s="108"/>
      <c r="K488" s="108"/>
      <c r="L488" s="79"/>
    </row>
    <row r="489" spans="1:12" s="4" customFormat="1" x14ac:dyDescent="0.25">
      <c r="A489" s="9" t="s">
        <v>352</v>
      </c>
      <c r="B489" s="8" t="s">
        <v>982</v>
      </c>
      <c r="C489" s="6" t="s">
        <v>242</v>
      </c>
      <c r="D489" s="109">
        <v>2116.91</v>
      </c>
      <c r="E489" s="5">
        <f t="shared" si="82"/>
        <v>423.38</v>
      </c>
      <c r="F489" s="97">
        <f t="shared" si="83"/>
        <v>2540.29</v>
      </c>
      <c r="G489" s="102"/>
      <c r="H489" s="20"/>
      <c r="I489" s="20"/>
      <c r="J489" s="108"/>
      <c r="K489" s="108"/>
      <c r="L489" s="79"/>
    </row>
    <row r="490" spans="1:12" s="4" customFormat="1" x14ac:dyDescent="0.25">
      <c r="A490" s="9" t="s">
        <v>353</v>
      </c>
      <c r="B490" s="8" t="s">
        <v>983</v>
      </c>
      <c r="C490" s="6" t="s">
        <v>242</v>
      </c>
      <c r="D490" s="109">
        <v>2208.8200000000002</v>
      </c>
      <c r="E490" s="5">
        <f t="shared" si="82"/>
        <v>441.76</v>
      </c>
      <c r="F490" s="97">
        <f t="shared" si="83"/>
        <v>2650.58</v>
      </c>
      <c r="G490" s="102"/>
      <c r="H490" s="20"/>
      <c r="I490" s="20"/>
      <c r="J490" s="108"/>
      <c r="K490" s="108"/>
      <c r="L490" s="79"/>
    </row>
    <row r="491" spans="1:12" s="4" customFormat="1" x14ac:dyDescent="0.25">
      <c r="A491" s="9" t="s">
        <v>354</v>
      </c>
      <c r="B491" s="8" t="s">
        <v>984</v>
      </c>
      <c r="C491" s="6" t="s">
        <v>242</v>
      </c>
      <c r="D491" s="109">
        <v>1433.08</v>
      </c>
      <c r="E491" s="5">
        <f t="shared" si="82"/>
        <v>286.62</v>
      </c>
      <c r="F491" s="97">
        <f t="shared" si="83"/>
        <v>1719.6999999999998</v>
      </c>
      <c r="G491" s="102"/>
      <c r="H491" s="20"/>
      <c r="I491" s="20"/>
      <c r="J491" s="108"/>
      <c r="K491" s="108"/>
      <c r="L491" s="79"/>
    </row>
    <row r="492" spans="1:12" s="4" customFormat="1" x14ac:dyDescent="0.25">
      <c r="A492" s="9" t="s">
        <v>355</v>
      </c>
      <c r="B492" s="8" t="s">
        <v>985</v>
      </c>
      <c r="C492" s="6" t="s">
        <v>242</v>
      </c>
      <c r="D492" s="109">
        <v>1422.41</v>
      </c>
      <c r="E492" s="5">
        <f t="shared" si="82"/>
        <v>284.48</v>
      </c>
      <c r="F492" s="97">
        <f t="shared" si="83"/>
        <v>1706.89</v>
      </c>
      <c r="G492" s="102"/>
      <c r="H492" s="20"/>
      <c r="I492" s="20"/>
      <c r="J492" s="108"/>
      <c r="K492" s="108"/>
      <c r="L492" s="79"/>
    </row>
    <row r="493" spans="1:12" s="4" customFormat="1" x14ac:dyDescent="0.25">
      <c r="A493" s="9" t="s">
        <v>356</v>
      </c>
      <c r="B493" s="8" t="s">
        <v>986</v>
      </c>
      <c r="C493" s="6" t="s">
        <v>242</v>
      </c>
      <c r="D493" s="109">
        <v>1469.22</v>
      </c>
      <c r="E493" s="5">
        <f t="shared" si="82"/>
        <v>293.83999999999997</v>
      </c>
      <c r="F493" s="97">
        <f t="shared" si="83"/>
        <v>1763.06</v>
      </c>
      <c r="G493" s="102"/>
      <c r="H493" s="20"/>
      <c r="I493" s="20"/>
      <c r="J493" s="108"/>
      <c r="K493" s="108"/>
      <c r="L493" s="79"/>
    </row>
    <row r="494" spans="1:12" s="4" customFormat="1" x14ac:dyDescent="0.25">
      <c r="A494" s="9" t="s">
        <v>357</v>
      </c>
      <c r="B494" s="8" t="s">
        <v>987</v>
      </c>
      <c r="C494" s="6" t="s">
        <v>242</v>
      </c>
      <c r="D494" s="109">
        <v>1625.55</v>
      </c>
      <c r="E494" s="5">
        <f t="shared" si="82"/>
        <v>325.11</v>
      </c>
      <c r="F494" s="97">
        <f t="shared" si="83"/>
        <v>1950.6599999999999</v>
      </c>
      <c r="G494" s="102"/>
      <c r="H494" s="20"/>
      <c r="I494" s="20"/>
      <c r="J494" s="108"/>
      <c r="K494" s="108"/>
      <c r="L494" s="79"/>
    </row>
    <row r="495" spans="1:12" s="4" customFormat="1" x14ac:dyDescent="0.25">
      <c r="A495" s="9" t="s">
        <v>358</v>
      </c>
      <c r="B495" s="8" t="s">
        <v>988</v>
      </c>
      <c r="C495" s="6" t="s">
        <v>242</v>
      </c>
      <c r="D495" s="109">
        <v>1827.51</v>
      </c>
      <c r="E495" s="5">
        <f t="shared" si="82"/>
        <v>365.5</v>
      </c>
      <c r="F495" s="97">
        <f t="shared" si="83"/>
        <v>2193.0100000000002</v>
      </c>
      <c r="G495" s="102"/>
      <c r="H495" s="20"/>
      <c r="I495" s="20"/>
      <c r="J495" s="108"/>
      <c r="K495" s="108"/>
      <c r="L495" s="79"/>
    </row>
    <row r="496" spans="1:12" s="4" customFormat="1" x14ac:dyDescent="0.25">
      <c r="A496" s="9" t="s">
        <v>359</v>
      </c>
      <c r="B496" s="8" t="s">
        <v>989</v>
      </c>
      <c r="C496" s="6" t="s">
        <v>242</v>
      </c>
      <c r="D496" s="109">
        <v>2655.79</v>
      </c>
      <c r="E496" s="5">
        <f t="shared" si="82"/>
        <v>531.16</v>
      </c>
      <c r="F496" s="97">
        <f t="shared" si="83"/>
        <v>3186.95</v>
      </c>
      <c r="G496" s="102"/>
      <c r="H496" s="20"/>
      <c r="I496" s="20"/>
      <c r="J496" s="108"/>
      <c r="K496" s="108"/>
      <c r="L496" s="79"/>
    </row>
    <row r="497" spans="1:12" s="4" customFormat="1" x14ac:dyDescent="0.25">
      <c r="A497" s="9" t="s">
        <v>360</v>
      </c>
      <c r="B497" s="8" t="s">
        <v>990</v>
      </c>
      <c r="C497" s="6" t="s">
        <v>242</v>
      </c>
      <c r="D497" s="109">
        <v>2613.1799999999998</v>
      </c>
      <c r="E497" s="5">
        <f t="shared" si="82"/>
        <v>522.64</v>
      </c>
      <c r="F497" s="97">
        <f t="shared" si="83"/>
        <v>3135.8199999999997</v>
      </c>
      <c r="G497" s="102"/>
      <c r="H497" s="20"/>
      <c r="I497" s="20"/>
      <c r="J497" s="108"/>
      <c r="K497" s="108"/>
      <c r="L497" s="79"/>
    </row>
    <row r="498" spans="1:12" s="4" customFormat="1" x14ac:dyDescent="0.25">
      <c r="A498" s="9" t="s">
        <v>361</v>
      </c>
      <c r="B498" s="8" t="s">
        <v>991</v>
      </c>
      <c r="C498" s="6" t="s">
        <v>242</v>
      </c>
      <c r="D498" s="109">
        <v>2720.07</v>
      </c>
      <c r="E498" s="5">
        <f t="shared" si="82"/>
        <v>544.01</v>
      </c>
      <c r="F498" s="97">
        <f t="shared" si="83"/>
        <v>3264.08</v>
      </c>
      <c r="G498" s="102"/>
      <c r="H498" s="20"/>
      <c r="I498" s="20"/>
      <c r="J498" s="108"/>
      <c r="K498" s="108"/>
      <c r="L498" s="79"/>
    </row>
    <row r="499" spans="1:12" s="4" customFormat="1" x14ac:dyDescent="0.25">
      <c r="A499" s="9" t="s">
        <v>362</v>
      </c>
      <c r="B499" s="8" t="s">
        <v>992</v>
      </c>
      <c r="C499" s="6" t="s">
        <v>242</v>
      </c>
      <c r="D499" s="109">
        <v>2839.41</v>
      </c>
      <c r="E499" s="5">
        <f t="shared" si="82"/>
        <v>567.88</v>
      </c>
      <c r="F499" s="97">
        <f t="shared" si="83"/>
        <v>3407.29</v>
      </c>
      <c r="G499" s="102"/>
      <c r="H499" s="20"/>
      <c r="I499" s="20"/>
      <c r="J499" s="108"/>
      <c r="K499" s="108"/>
      <c r="L499" s="79"/>
    </row>
    <row r="500" spans="1:12" s="4" customFormat="1" x14ac:dyDescent="0.25">
      <c r="A500" s="9" t="s">
        <v>363</v>
      </c>
      <c r="B500" s="8" t="s">
        <v>496</v>
      </c>
      <c r="C500" s="6" t="s">
        <v>242</v>
      </c>
      <c r="D500" s="109">
        <v>2330.62</v>
      </c>
      <c r="E500" s="5">
        <f t="shared" si="82"/>
        <v>466.12</v>
      </c>
      <c r="F500" s="97">
        <f t="shared" si="83"/>
        <v>2796.74</v>
      </c>
      <c r="G500" s="102"/>
      <c r="H500" s="20"/>
      <c r="I500" s="20"/>
      <c r="J500" s="108"/>
      <c r="K500" s="108"/>
      <c r="L500" s="79"/>
    </row>
    <row r="501" spans="1:12" s="4" customFormat="1" x14ac:dyDescent="0.25">
      <c r="A501" s="9" t="s">
        <v>364</v>
      </c>
      <c r="B501" s="8" t="s">
        <v>993</v>
      </c>
      <c r="C501" s="6" t="s">
        <v>242</v>
      </c>
      <c r="D501" s="109">
        <v>2058.8200000000002</v>
      </c>
      <c r="E501" s="5">
        <f t="shared" si="82"/>
        <v>411.76</v>
      </c>
      <c r="F501" s="97">
        <f t="shared" si="83"/>
        <v>2470.58</v>
      </c>
      <c r="G501" s="102"/>
      <c r="H501" s="20"/>
      <c r="I501" s="20"/>
      <c r="J501" s="108"/>
      <c r="K501" s="108"/>
      <c r="L501" s="79"/>
    </row>
    <row r="502" spans="1:12" s="4" customFormat="1" x14ac:dyDescent="0.25">
      <c r="A502" s="9" t="s">
        <v>365</v>
      </c>
      <c r="B502" s="8" t="s">
        <v>994</v>
      </c>
      <c r="C502" s="6" t="s">
        <v>242</v>
      </c>
      <c r="D502" s="109">
        <v>1410.07</v>
      </c>
      <c r="E502" s="5">
        <f t="shared" si="82"/>
        <v>282.01</v>
      </c>
      <c r="F502" s="97">
        <f t="shared" si="83"/>
        <v>1692.08</v>
      </c>
      <c r="G502" s="102"/>
      <c r="H502" s="20"/>
      <c r="I502" s="20"/>
      <c r="J502" s="108"/>
      <c r="K502" s="108"/>
      <c r="L502" s="79"/>
    </row>
    <row r="503" spans="1:12" s="4" customFormat="1" x14ac:dyDescent="0.25">
      <c r="A503" s="9" t="s">
        <v>366</v>
      </c>
      <c r="B503" s="8" t="s">
        <v>995</v>
      </c>
      <c r="C503" s="6" t="s">
        <v>242</v>
      </c>
      <c r="D503" s="109">
        <v>1519.29</v>
      </c>
      <c r="E503" s="5">
        <f t="shared" si="82"/>
        <v>303.86</v>
      </c>
      <c r="F503" s="97">
        <f t="shared" si="83"/>
        <v>1823.15</v>
      </c>
      <c r="G503" s="102"/>
      <c r="H503" s="20"/>
      <c r="I503" s="20"/>
      <c r="J503" s="108"/>
      <c r="K503" s="108"/>
      <c r="L503" s="79"/>
    </row>
    <row r="504" spans="1:12" s="4" customFormat="1" x14ac:dyDescent="0.25">
      <c r="A504" s="9" t="s">
        <v>367</v>
      </c>
      <c r="B504" s="8" t="s">
        <v>996</v>
      </c>
      <c r="C504" s="6" t="s">
        <v>242</v>
      </c>
      <c r="D504" s="109">
        <v>1426.88</v>
      </c>
      <c r="E504" s="5">
        <f t="shared" ref="E504:E514" si="84">ROUND(D504*0.2,2)</f>
        <v>285.38</v>
      </c>
      <c r="F504" s="97">
        <f t="shared" ref="F504:F514" si="85">D504+E504</f>
        <v>1712.2600000000002</v>
      </c>
      <c r="G504" s="102"/>
      <c r="H504" s="20"/>
      <c r="I504" s="20"/>
      <c r="J504" s="108"/>
      <c r="K504" s="108"/>
      <c r="L504" s="79"/>
    </row>
    <row r="505" spans="1:12" s="4" customFormat="1" x14ac:dyDescent="0.25">
      <c r="A505" s="9" t="s">
        <v>368</v>
      </c>
      <c r="B505" s="8" t="s">
        <v>497</v>
      </c>
      <c r="C505" s="6" t="s">
        <v>242</v>
      </c>
      <c r="D505" s="109">
        <v>1580.45</v>
      </c>
      <c r="E505" s="5">
        <f t="shared" si="84"/>
        <v>316.08999999999997</v>
      </c>
      <c r="F505" s="97">
        <f t="shared" si="85"/>
        <v>1896.54</v>
      </c>
      <c r="G505" s="102"/>
      <c r="H505" s="20"/>
      <c r="I505" s="20"/>
      <c r="J505" s="108"/>
      <c r="K505" s="108"/>
      <c r="L505" s="79"/>
    </row>
    <row r="506" spans="1:12" s="4" customFormat="1" x14ac:dyDescent="0.25">
      <c r="A506" s="9" t="s">
        <v>369</v>
      </c>
      <c r="B506" s="8" t="s">
        <v>997</v>
      </c>
      <c r="C506" s="6" t="s">
        <v>242</v>
      </c>
      <c r="D506" s="109">
        <v>1395.45</v>
      </c>
      <c r="E506" s="5">
        <f t="shared" si="84"/>
        <v>279.08999999999997</v>
      </c>
      <c r="F506" s="97">
        <f t="shared" si="85"/>
        <v>1674.54</v>
      </c>
      <c r="G506" s="102"/>
      <c r="H506" s="20"/>
      <c r="I506" s="20"/>
      <c r="J506" s="108"/>
      <c r="K506" s="108"/>
      <c r="L506" s="79"/>
    </row>
    <row r="507" spans="1:12" s="4" customFormat="1" x14ac:dyDescent="0.25">
      <c r="A507" s="9" t="s">
        <v>370</v>
      </c>
      <c r="B507" s="8" t="s">
        <v>998</v>
      </c>
      <c r="C507" s="6" t="s">
        <v>242</v>
      </c>
      <c r="D507" s="109">
        <v>1341.13</v>
      </c>
      <c r="E507" s="5">
        <f t="shared" si="84"/>
        <v>268.23</v>
      </c>
      <c r="F507" s="97">
        <f t="shared" si="85"/>
        <v>1609.3600000000001</v>
      </c>
      <c r="G507" s="102"/>
      <c r="H507" s="20"/>
      <c r="I507" s="20"/>
      <c r="J507" s="108"/>
      <c r="K507" s="108"/>
      <c r="L507" s="79"/>
    </row>
    <row r="508" spans="1:12" s="4" customFormat="1" x14ac:dyDescent="0.25">
      <c r="A508" s="9" t="s">
        <v>371</v>
      </c>
      <c r="B508" s="8" t="s">
        <v>999</v>
      </c>
      <c r="C508" s="6" t="s">
        <v>242</v>
      </c>
      <c r="D508" s="109">
        <v>1318.25</v>
      </c>
      <c r="E508" s="5">
        <f t="shared" si="84"/>
        <v>263.64999999999998</v>
      </c>
      <c r="F508" s="97">
        <f t="shared" si="85"/>
        <v>1581.9</v>
      </c>
      <c r="G508" s="102"/>
      <c r="H508" s="20"/>
      <c r="I508" s="20"/>
      <c r="J508" s="108"/>
      <c r="K508" s="108"/>
      <c r="L508" s="79"/>
    </row>
    <row r="509" spans="1:12" s="4" customFormat="1" x14ac:dyDescent="0.25">
      <c r="A509" s="9" t="s">
        <v>372</v>
      </c>
      <c r="B509" s="8" t="s">
        <v>1000</v>
      </c>
      <c r="C509" s="6" t="s">
        <v>242</v>
      </c>
      <c r="D509" s="109">
        <v>1305.3800000000001</v>
      </c>
      <c r="E509" s="5">
        <f t="shared" si="84"/>
        <v>261.08</v>
      </c>
      <c r="F509" s="97">
        <f t="shared" si="85"/>
        <v>1566.46</v>
      </c>
      <c r="G509" s="102"/>
      <c r="H509" s="20"/>
      <c r="I509" s="20"/>
      <c r="J509" s="108"/>
      <c r="K509" s="108"/>
      <c r="L509" s="79"/>
    </row>
    <row r="510" spans="1:12" s="4" customFormat="1" x14ac:dyDescent="0.25">
      <c r="A510" s="9" t="s">
        <v>373</v>
      </c>
      <c r="B510" s="8" t="s">
        <v>1001</v>
      </c>
      <c r="C510" s="6" t="s">
        <v>242</v>
      </c>
      <c r="D510" s="109">
        <v>1251.17</v>
      </c>
      <c r="E510" s="5">
        <f t="shared" si="84"/>
        <v>250.23</v>
      </c>
      <c r="F510" s="97">
        <f t="shared" si="85"/>
        <v>1501.4</v>
      </c>
      <c r="G510" s="102"/>
      <c r="H510" s="20"/>
      <c r="I510" s="20"/>
      <c r="J510" s="108"/>
      <c r="K510" s="108"/>
      <c r="L510" s="79"/>
    </row>
    <row r="511" spans="1:12" s="4" customFormat="1" x14ac:dyDescent="0.25">
      <c r="A511" s="9" t="s">
        <v>374</v>
      </c>
      <c r="B511" s="8" t="s">
        <v>1002</v>
      </c>
      <c r="C511" s="6" t="s">
        <v>242</v>
      </c>
      <c r="D511" s="109">
        <v>1317.46</v>
      </c>
      <c r="E511" s="5">
        <f t="shared" si="84"/>
        <v>263.49</v>
      </c>
      <c r="F511" s="97">
        <f t="shared" si="85"/>
        <v>1580.95</v>
      </c>
      <c r="G511" s="102"/>
      <c r="H511" s="20"/>
      <c r="I511" s="20"/>
      <c r="J511" s="108"/>
      <c r="K511" s="108"/>
      <c r="L511" s="79"/>
    </row>
    <row r="512" spans="1:12" s="4" customFormat="1" x14ac:dyDescent="0.25">
      <c r="A512" s="9" t="s">
        <v>375</v>
      </c>
      <c r="B512" s="8" t="s">
        <v>1003</v>
      </c>
      <c r="C512" s="6" t="s">
        <v>242</v>
      </c>
      <c r="D512" s="109">
        <v>1944.94</v>
      </c>
      <c r="E512" s="5">
        <f t="shared" si="84"/>
        <v>388.99</v>
      </c>
      <c r="F512" s="97">
        <f t="shared" si="85"/>
        <v>2333.9300000000003</v>
      </c>
      <c r="G512" s="102"/>
      <c r="H512" s="20"/>
      <c r="I512" s="20"/>
      <c r="J512" s="108"/>
      <c r="K512" s="108"/>
      <c r="L512" s="79"/>
    </row>
    <row r="513" spans="1:12" s="4" customFormat="1" x14ac:dyDescent="0.25">
      <c r="A513" s="9" t="s">
        <v>376</v>
      </c>
      <c r="B513" s="8" t="s">
        <v>1004</v>
      </c>
      <c r="C513" s="6" t="s">
        <v>242</v>
      </c>
      <c r="D513" s="109">
        <v>1542.17</v>
      </c>
      <c r="E513" s="5">
        <f t="shared" si="84"/>
        <v>308.43</v>
      </c>
      <c r="F513" s="97">
        <f t="shared" si="85"/>
        <v>1850.6000000000001</v>
      </c>
      <c r="G513" s="102"/>
      <c r="H513" s="20"/>
      <c r="I513" s="20"/>
      <c r="J513" s="108"/>
      <c r="K513" s="108"/>
      <c r="L513" s="79"/>
    </row>
    <row r="514" spans="1:12" s="4" customFormat="1" x14ac:dyDescent="0.25">
      <c r="A514" s="9" t="s">
        <v>377</v>
      </c>
      <c r="B514" s="86" t="s">
        <v>1005</v>
      </c>
      <c r="C514" s="7" t="s">
        <v>242</v>
      </c>
      <c r="D514" s="109">
        <v>4281.51</v>
      </c>
      <c r="E514" s="60">
        <f t="shared" si="84"/>
        <v>856.3</v>
      </c>
      <c r="F514" s="83">
        <f t="shared" si="85"/>
        <v>5137.8100000000004</v>
      </c>
      <c r="G514" s="102"/>
      <c r="H514" s="20"/>
      <c r="I514" s="20"/>
      <c r="J514" s="108"/>
      <c r="K514" s="108"/>
      <c r="L514" s="79"/>
    </row>
    <row r="515" spans="1:12" s="4" customFormat="1" ht="15.75" customHeight="1" x14ac:dyDescent="0.25">
      <c r="A515" s="50"/>
      <c r="B515" s="71" t="s">
        <v>243</v>
      </c>
      <c r="C515" s="132"/>
      <c r="D515" s="132"/>
      <c r="E515" s="132"/>
      <c r="F515" s="133"/>
      <c r="G515" s="102"/>
      <c r="H515" s="20"/>
      <c r="J515" s="79"/>
      <c r="K515" s="79"/>
      <c r="L515" s="79"/>
    </row>
    <row r="516" spans="1:12" s="4" customFormat="1" x14ac:dyDescent="0.25">
      <c r="A516" s="9" t="s">
        <v>378</v>
      </c>
      <c r="B516" s="72" t="s">
        <v>244</v>
      </c>
      <c r="C516" s="7" t="s">
        <v>242</v>
      </c>
      <c r="D516" s="112">
        <v>4214.76</v>
      </c>
      <c r="E516" s="60">
        <f t="shared" ref="E516:E537" si="86">ROUND(D516*0.2,2)</f>
        <v>842.95</v>
      </c>
      <c r="F516" s="83">
        <f t="shared" ref="F516:F537" si="87">D516+E516</f>
        <v>5057.71</v>
      </c>
      <c r="G516" s="102"/>
      <c r="H516" s="20"/>
      <c r="I516" s="20"/>
      <c r="J516" s="108"/>
      <c r="K516" s="108"/>
      <c r="L516" s="79"/>
    </row>
    <row r="517" spans="1:12" s="4" customFormat="1" x14ac:dyDescent="0.25">
      <c r="A517" s="9" t="s">
        <v>379</v>
      </c>
      <c r="B517" s="72" t="s">
        <v>245</v>
      </c>
      <c r="C517" s="7" t="s">
        <v>242</v>
      </c>
      <c r="D517" s="112">
        <v>3707.27</v>
      </c>
      <c r="E517" s="60">
        <f t="shared" si="86"/>
        <v>741.45</v>
      </c>
      <c r="F517" s="83">
        <f t="shared" si="87"/>
        <v>4448.72</v>
      </c>
      <c r="G517" s="102"/>
      <c r="H517" s="20"/>
      <c r="I517" s="20"/>
      <c r="J517" s="108"/>
      <c r="K517" s="108"/>
      <c r="L517" s="79"/>
    </row>
    <row r="518" spans="1:12" s="4" customFormat="1" x14ac:dyDescent="0.25">
      <c r="A518" s="9" t="s">
        <v>380</v>
      </c>
      <c r="B518" s="72" t="s">
        <v>246</v>
      </c>
      <c r="C518" s="7" t="s">
        <v>242</v>
      </c>
      <c r="D518" s="112">
        <v>2157.39</v>
      </c>
      <c r="E518" s="60">
        <f t="shared" si="86"/>
        <v>431.48</v>
      </c>
      <c r="F518" s="83">
        <f t="shared" si="87"/>
        <v>2588.87</v>
      </c>
      <c r="G518" s="102"/>
      <c r="H518" s="20"/>
      <c r="I518" s="20"/>
      <c r="J518" s="108"/>
      <c r="K518" s="108"/>
      <c r="L518" s="79"/>
    </row>
    <row r="519" spans="1:12" s="4" customFormat="1" x14ac:dyDescent="0.25">
      <c r="A519" s="9" t="s">
        <v>381</v>
      </c>
      <c r="B519" s="72" t="s">
        <v>247</v>
      </c>
      <c r="C519" s="7" t="s">
        <v>242</v>
      </c>
      <c r="D519" s="112">
        <v>3733.25</v>
      </c>
      <c r="E519" s="60">
        <f t="shared" si="86"/>
        <v>746.65</v>
      </c>
      <c r="F519" s="83">
        <f t="shared" si="87"/>
        <v>4479.8999999999996</v>
      </c>
      <c r="G519" s="102"/>
      <c r="H519" s="20"/>
      <c r="I519" s="20"/>
      <c r="J519" s="108"/>
      <c r="K519" s="108"/>
      <c r="L519" s="79"/>
    </row>
    <row r="520" spans="1:12" s="4" customFormat="1" x14ac:dyDescent="0.25">
      <c r="A520" s="9" t="s">
        <v>382</v>
      </c>
      <c r="B520" s="72" t="s">
        <v>248</v>
      </c>
      <c r="C520" s="7" t="s">
        <v>242</v>
      </c>
      <c r="D520" s="112">
        <v>2379.85</v>
      </c>
      <c r="E520" s="60">
        <f t="shared" si="86"/>
        <v>475.97</v>
      </c>
      <c r="F520" s="83">
        <f t="shared" si="87"/>
        <v>2855.8199999999997</v>
      </c>
      <c r="G520" s="102"/>
      <c r="H520" s="20"/>
      <c r="I520" s="20"/>
      <c r="J520" s="108"/>
      <c r="K520" s="108"/>
      <c r="L520" s="79"/>
    </row>
    <row r="521" spans="1:12" s="4" customFormat="1" x14ac:dyDescent="0.25">
      <c r="A521" s="9" t="s">
        <v>383</v>
      </c>
      <c r="B521" s="72" t="s">
        <v>249</v>
      </c>
      <c r="C521" s="7" t="s">
        <v>242</v>
      </c>
      <c r="D521" s="112">
        <v>3534.91</v>
      </c>
      <c r="E521" s="60">
        <f t="shared" si="86"/>
        <v>706.98</v>
      </c>
      <c r="F521" s="83">
        <f t="shared" si="87"/>
        <v>4241.8899999999994</v>
      </c>
      <c r="G521" s="102"/>
      <c r="H521" s="20"/>
      <c r="I521" s="20"/>
      <c r="J521" s="108"/>
      <c r="K521" s="108"/>
      <c r="L521" s="79"/>
    </row>
    <row r="522" spans="1:12" s="4" customFormat="1" x14ac:dyDescent="0.25">
      <c r="A522" s="9" t="s">
        <v>384</v>
      </c>
      <c r="B522" s="72" t="s">
        <v>250</v>
      </c>
      <c r="C522" s="7" t="s">
        <v>242</v>
      </c>
      <c r="D522" s="112">
        <v>1768.79</v>
      </c>
      <c r="E522" s="60">
        <f t="shared" si="86"/>
        <v>353.76</v>
      </c>
      <c r="F522" s="83">
        <f t="shared" si="87"/>
        <v>2122.5500000000002</v>
      </c>
      <c r="G522" s="102"/>
      <c r="H522" s="20"/>
      <c r="I522" s="20"/>
      <c r="J522" s="108"/>
      <c r="K522" s="108"/>
      <c r="L522" s="79"/>
    </row>
    <row r="523" spans="1:12" s="4" customFormat="1" x14ac:dyDescent="0.25">
      <c r="A523" s="9" t="s">
        <v>385</v>
      </c>
      <c r="B523" s="72" t="s">
        <v>251</v>
      </c>
      <c r="C523" s="7" t="s">
        <v>242</v>
      </c>
      <c r="D523" s="112">
        <v>1526.58</v>
      </c>
      <c r="E523" s="60">
        <f t="shared" si="86"/>
        <v>305.32</v>
      </c>
      <c r="F523" s="83">
        <f t="shared" si="87"/>
        <v>1831.8999999999999</v>
      </c>
      <c r="G523" s="102"/>
      <c r="H523" s="20"/>
      <c r="I523" s="20"/>
      <c r="J523" s="108"/>
      <c r="K523" s="108"/>
      <c r="L523" s="79"/>
    </row>
    <row r="524" spans="1:12" s="4" customFormat="1" x14ac:dyDescent="0.25">
      <c r="A524" s="9" t="s">
        <v>386</v>
      </c>
      <c r="B524" s="72" t="s">
        <v>252</v>
      </c>
      <c r="C524" s="7" t="s">
        <v>242</v>
      </c>
      <c r="D524" s="112">
        <v>1514.04</v>
      </c>
      <c r="E524" s="60">
        <f t="shared" si="86"/>
        <v>302.81</v>
      </c>
      <c r="F524" s="83">
        <f t="shared" si="87"/>
        <v>1816.85</v>
      </c>
      <c r="G524" s="102"/>
      <c r="H524" s="20"/>
      <c r="I524" s="20"/>
      <c r="J524" s="108"/>
      <c r="K524" s="108"/>
      <c r="L524" s="79"/>
    </row>
    <row r="525" spans="1:12" s="4" customFormat="1" x14ac:dyDescent="0.25">
      <c r="A525" s="9" t="s">
        <v>387</v>
      </c>
      <c r="B525" s="72" t="s">
        <v>253</v>
      </c>
      <c r="C525" s="7" t="s">
        <v>242</v>
      </c>
      <c r="D525" s="112">
        <v>1472.54</v>
      </c>
      <c r="E525" s="60">
        <f t="shared" si="86"/>
        <v>294.51</v>
      </c>
      <c r="F525" s="83">
        <f t="shared" si="87"/>
        <v>1767.05</v>
      </c>
      <c r="G525" s="102"/>
      <c r="H525" s="20"/>
      <c r="I525" s="20"/>
      <c r="J525" s="108"/>
      <c r="K525" s="108"/>
      <c r="L525" s="79"/>
    </row>
    <row r="526" spans="1:12" s="4" customFormat="1" x14ac:dyDescent="0.25">
      <c r="A526" s="9" t="s">
        <v>388</v>
      </c>
      <c r="B526" s="72" t="s">
        <v>254</v>
      </c>
      <c r="C526" s="7" t="s">
        <v>242</v>
      </c>
      <c r="D526" s="112">
        <v>1422.53</v>
      </c>
      <c r="E526" s="60">
        <f t="shared" si="86"/>
        <v>284.51</v>
      </c>
      <c r="F526" s="83">
        <f t="shared" si="87"/>
        <v>1707.04</v>
      </c>
      <c r="G526" s="102"/>
      <c r="H526" s="20"/>
      <c r="I526" s="20"/>
      <c r="J526" s="108"/>
      <c r="K526" s="108"/>
      <c r="L526" s="79"/>
    </row>
    <row r="527" spans="1:12" s="4" customFormat="1" x14ac:dyDescent="0.25">
      <c r="A527" s="9" t="s">
        <v>389</v>
      </c>
      <c r="B527" s="72" t="s">
        <v>255</v>
      </c>
      <c r="C527" s="7" t="s">
        <v>242</v>
      </c>
      <c r="D527" s="112">
        <v>2683.17</v>
      </c>
      <c r="E527" s="60">
        <f t="shared" si="86"/>
        <v>536.63</v>
      </c>
      <c r="F527" s="83">
        <f t="shared" si="87"/>
        <v>3219.8</v>
      </c>
      <c r="G527" s="102"/>
      <c r="H527" s="20"/>
      <c r="I527" s="20"/>
      <c r="J527" s="108"/>
      <c r="K527" s="108"/>
      <c r="L527" s="79"/>
    </row>
    <row r="528" spans="1:12" s="4" customFormat="1" x14ac:dyDescent="0.25">
      <c r="A528" s="9" t="s">
        <v>390</v>
      </c>
      <c r="B528" s="72" t="s">
        <v>1006</v>
      </c>
      <c r="C528" s="7" t="s">
        <v>242</v>
      </c>
      <c r="D528" s="112">
        <v>2742.96</v>
      </c>
      <c r="E528" s="60">
        <f t="shared" si="86"/>
        <v>548.59</v>
      </c>
      <c r="F528" s="83">
        <f t="shared" si="87"/>
        <v>3291.55</v>
      </c>
      <c r="G528" s="102"/>
      <c r="H528" s="20"/>
      <c r="I528" s="20"/>
      <c r="J528" s="108"/>
      <c r="K528" s="108"/>
      <c r="L528" s="79"/>
    </row>
    <row r="529" spans="1:12" s="4" customFormat="1" x14ac:dyDescent="0.25">
      <c r="A529" s="9" t="s">
        <v>391</v>
      </c>
      <c r="B529" s="72" t="s">
        <v>256</v>
      </c>
      <c r="C529" s="7" t="s">
        <v>242</v>
      </c>
      <c r="D529" s="112">
        <v>1833.35</v>
      </c>
      <c r="E529" s="60">
        <f t="shared" si="86"/>
        <v>366.67</v>
      </c>
      <c r="F529" s="83">
        <f t="shared" si="87"/>
        <v>2200.02</v>
      </c>
      <c r="G529" s="102"/>
      <c r="H529" s="20"/>
      <c r="I529" s="20"/>
      <c r="J529" s="108"/>
      <c r="K529" s="108"/>
      <c r="L529" s="79"/>
    </row>
    <row r="530" spans="1:12" s="4" customFormat="1" x14ac:dyDescent="0.25">
      <c r="A530" s="9" t="s">
        <v>392</v>
      </c>
      <c r="B530" s="72" t="s">
        <v>257</v>
      </c>
      <c r="C530" s="7" t="s">
        <v>242</v>
      </c>
      <c r="D530" s="112">
        <v>1733.88</v>
      </c>
      <c r="E530" s="60">
        <f t="shared" si="86"/>
        <v>346.78</v>
      </c>
      <c r="F530" s="83">
        <f t="shared" si="87"/>
        <v>2080.66</v>
      </c>
      <c r="G530" s="102"/>
      <c r="H530" s="20"/>
      <c r="I530" s="20"/>
      <c r="J530" s="108"/>
      <c r="K530" s="108"/>
      <c r="L530" s="79"/>
    </row>
    <row r="531" spans="1:12" s="4" customFormat="1" x14ac:dyDescent="0.25">
      <c r="A531" s="9" t="s">
        <v>393</v>
      </c>
      <c r="B531" s="72" t="s">
        <v>258</v>
      </c>
      <c r="C531" s="7" t="s">
        <v>242</v>
      </c>
      <c r="D531" s="112">
        <v>2924.07</v>
      </c>
      <c r="E531" s="60">
        <f t="shared" si="86"/>
        <v>584.80999999999995</v>
      </c>
      <c r="F531" s="83">
        <f t="shared" si="87"/>
        <v>3508.88</v>
      </c>
      <c r="G531" s="102"/>
      <c r="H531" s="20"/>
      <c r="I531" s="20"/>
      <c r="J531" s="108"/>
      <c r="K531" s="108"/>
      <c r="L531" s="79"/>
    </row>
    <row r="532" spans="1:12" s="4" customFormat="1" x14ac:dyDescent="0.25">
      <c r="A532" s="9" t="s">
        <v>394</v>
      </c>
      <c r="B532" s="72" t="s">
        <v>259</v>
      </c>
      <c r="C532" s="7" t="s">
        <v>242</v>
      </c>
      <c r="D532" s="112">
        <v>1932.61</v>
      </c>
      <c r="E532" s="60">
        <f t="shared" si="86"/>
        <v>386.52</v>
      </c>
      <c r="F532" s="83">
        <f t="shared" si="87"/>
        <v>2319.13</v>
      </c>
      <c r="G532" s="102"/>
      <c r="H532" s="20"/>
      <c r="I532" s="20"/>
      <c r="J532" s="108"/>
      <c r="K532" s="108"/>
      <c r="L532" s="79"/>
    </row>
    <row r="533" spans="1:12" s="4" customFormat="1" x14ac:dyDescent="0.25">
      <c r="A533" s="9" t="s">
        <v>395</v>
      </c>
      <c r="B533" s="72" t="s">
        <v>260</v>
      </c>
      <c r="C533" s="7" t="s">
        <v>242</v>
      </c>
      <c r="D533" s="112">
        <v>2764.41</v>
      </c>
      <c r="E533" s="60">
        <f t="shared" si="86"/>
        <v>552.88</v>
      </c>
      <c r="F533" s="83">
        <f t="shared" si="87"/>
        <v>3317.29</v>
      </c>
      <c r="G533" s="102"/>
      <c r="H533" s="20"/>
      <c r="I533" s="20"/>
      <c r="J533" s="108"/>
      <c r="K533" s="108"/>
      <c r="L533" s="79"/>
    </row>
    <row r="534" spans="1:12" s="4" customFormat="1" x14ac:dyDescent="0.25">
      <c r="A534" s="9" t="s">
        <v>396</v>
      </c>
      <c r="B534" s="72" t="s">
        <v>261</v>
      </c>
      <c r="C534" s="7" t="s">
        <v>242</v>
      </c>
      <c r="D534" s="112">
        <v>2170.56</v>
      </c>
      <c r="E534" s="60">
        <f t="shared" si="86"/>
        <v>434.11</v>
      </c>
      <c r="F534" s="83">
        <f t="shared" si="87"/>
        <v>2604.67</v>
      </c>
      <c r="G534" s="102"/>
      <c r="H534" s="20"/>
      <c r="I534" s="20"/>
      <c r="J534" s="108"/>
      <c r="K534" s="108"/>
      <c r="L534" s="79"/>
    </row>
    <row r="535" spans="1:12" s="4" customFormat="1" x14ac:dyDescent="0.25">
      <c r="A535" s="9" t="s">
        <v>397</v>
      </c>
      <c r="B535" s="72" t="s">
        <v>262</v>
      </c>
      <c r="C535" s="7" t="s">
        <v>242</v>
      </c>
      <c r="D535" s="112">
        <v>2213.69</v>
      </c>
      <c r="E535" s="60">
        <f t="shared" si="86"/>
        <v>442.74</v>
      </c>
      <c r="F535" s="83">
        <f t="shared" si="87"/>
        <v>2656.4300000000003</v>
      </c>
      <c r="G535" s="102"/>
      <c r="H535" s="20"/>
      <c r="I535" s="20"/>
      <c r="J535" s="108"/>
      <c r="K535" s="108"/>
      <c r="L535" s="79"/>
    </row>
    <row r="536" spans="1:12" s="4" customFormat="1" x14ac:dyDescent="0.25">
      <c r="A536" s="9" t="s">
        <v>398</v>
      </c>
      <c r="B536" s="72" t="s">
        <v>263</v>
      </c>
      <c r="C536" s="7" t="s">
        <v>242</v>
      </c>
      <c r="D536" s="112">
        <v>2207.12</v>
      </c>
      <c r="E536" s="60">
        <f t="shared" si="86"/>
        <v>441.42</v>
      </c>
      <c r="F536" s="83">
        <f t="shared" si="87"/>
        <v>2648.54</v>
      </c>
      <c r="G536" s="102"/>
      <c r="H536" s="20"/>
      <c r="I536" s="20"/>
      <c r="J536" s="108"/>
      <c r="K536" s="108"/>
      <c r="L536" s="79"/>
    </row>
    <row r="537" spans="1:12" s="4" customFormat="1" x14ac:dyDescent="0.25">
      <c r="A537" s="9" t="s">
        <v>399</v>
      </c>
      <c r="B537" s="72" t="s">
        <v>264</v>
      </c>
      <c r="C537" s="7" t="s">
        <v>242</v>
      </c>
      <c r="D537" s="112">
        <v>3465</v>
      </c>
      <c r="E537" s="60">
        <f t="shared" si="86"/>
        <v>693</v>
      </c>
      <c r="F537" s="83">
        <f t="shared" si="87"/>
        <v>4158</v>
      </c>
      <c r="G537" s="102"/>
      <c r="H537" s="20"/>
      <c r="I537" s="20"/>
      <c r="J537" s="108"/>
      <c r="K537" s="108"/>
      <c r="L537" s="79"/>
    </row>
    <row r="538" spans="1:12" s="4" customFormat="1" ht="30" x14ac:dyDescent="0.25">
      <c r="A538" s="9" t="s">
        <v>400</v>
      </c>
      <c r="B538" s="72" t="s">
        <v>1007</v>
      </c>
      <c r="C538" s="7" t="s">
        <v>242</v>
      </c>
      <c r="D538" s="112">
        <v>3896.18</v>
      </c>
      <c r="E538" s="60">
        <f t="shared" ref="E538:E539" si="88">ROUND(D538*0.2,2)</f>
        <v>779.24</v>
      </c>
      <c r="F538" s="83">
        <f t="shared" ref="F538:F539" si="89">D538+E538</f>
        <v>4675.42</v>
      </c>
      <c r="G538" s="102"/>
      <c r="H538" s="20"/>
      <c r="I538" s="20"/>
      <c r="J538" s="108"/>
      <c r="K538" s="108"/>
      <c r="L538" s="79"/>
    </row>
    <row r="539" spans="1:12" s="4" customFormat="1" x14ac:dyDescent="0.25">
      <c r="A539" s="9" t="s">
        <v>809</v>
      </c>
      <c r="B539" s="73" t="s">
        <v>810</v>
      </c>
      <c r="C539" s="7" t="s">
        <v>242</v>
      </c>
      <c r="D539" s="113">
        <v>2437.8000000000002</v>
      </c>
      <c r="E539" s="60">
        <f t="shared" si="88"/>
        <v>487.56</v>
      </c>
      <c r="F539" s="83">
        <f t="shared" si="89"/>
        <v>2925.36</v>
      </c>
      <c r="G539" s="102"/>
      <c r="H539" s="20"/>
      <c r="I539" s="20"/>
      <c r="J539" s="108"/>
      <c r="K539" s="108"/>
      <c r="L539" s="79"/>
    </row>
    <row r="540" spans="1:12" s="4" customFormat="1" ht="36.75" customHeight="1" x14ac:dyDescent="0.25">
      <c r="A540" s="128" t="s">
        <v>818</v>
      </c>
      <c r="B540" s="128"/>
      <c r="C540" s="128"/>
      <c r="D540" s="128"/>
      <c r="E540" s="128"/>
      <c r="F540" s="128"/>
      <c r="G540" s="20"/>
    </row>
    <row r="541" spans="1:12" s="4" customFormat="1" ht="37.5" customHeight="1" x14ac:dyDescent="0.25">
      <c r="A541" s="128" t="s">
        <v>819</v>
      </c>
      <c r="B541" s="128"/>
      <c r="C541" s="128"/>
      <c r="D541" s="128"/>
      <c r="E541" s="128"/>
      <c r="F541" s="128"/>
      <c r="G541" s="20"/>
    </row>
    <row r="542" spans="1:12" s="14" customFormat="1" ht="39.75" customHeight="1" x14ac:dyDescent="0.25">
      <c r="A542" s="127" t="s">
        <v>820</v>
      </c>
      <c r="B542" s="127"/>
      <c r="C542" s="127"/>
      <c r="D542" s="127"/>
      <c r="E542" s="127"/>
      <c r="F542" s="127"/>
      <c r="G542" s="103"/>
    </row>
    <row r="543" spans="1:12" ht="51.75" customHeight="1" x14ac:dyDescent="0.25">
      <c r="A543" s="127" t="s">
        <v>821</v>
      </c>
      <c r="B543" s="127"/>
      <c r="C543" s="127"/>
      <c r="D543" s="127"/>
      <c r="E543" s="127"/>
      <c r="F543" s="127"/>
    </row>
  </sheetData>
  <autoFilter ref="A13:H543"/>
  <mergeCells count="76">
    <mergeCell ref="C445:F445"/>
    <mergeCell ref="C21:F21"/>
    <mergeCell ref="C20:F20"/>
    <mergeCell ref="C271:F271"/>
    <mergeCell ref="C272:F272"/>
    <mergeCell ref="C324:F324"/>
    <mergeCell ref="B270:F270"/>
    <mergeCell ref="C31:F31"/>
    <mergeCell ref="C39:F39"/>
    <mergeCell ref="C40:F40"/>
    <mergeCell ref="C41:F41"/>
    <mergeCell ref="C220:F220"/>
    <mergeCell ref="B35:F35"/>
    <mergeCell ref="C32:F32"/>
    <mergeCell ref="C33:F33"/>
    <mergeCell ref="C34:F34"/>
    <mergeCell ref="A542:F542"/>
    <mergeCell ref="A9:F9"/>
    <mergeCell ref="A10:F10"/>
    <mergeCell ref="C327:F327"/>
    <mergeCell ref="C42:F42"/>
    <mergeCell ref="C418:F418"/>
    <mergeCell ref="C446:F446"/>
    <mergeCell ref="C417:F417"/>
    <mergeCell ref="C447:F447"/>
    <mergeCell ref="C448:F448"/>
    <mergeCell ref="C441:F441"/>
    <mergeCell ref="C443:F443"/>
    <mergeCell ref="C444:F444"/>
    <mergeCell ref="C23:F23"/>
    <mergeCell ref="C28:F28"/>
    <mergeCell ref="C22:F22"/>
    <mergeCell ref="C38:F38"/>
    <mergeCell ref="C36:F36"/>
    <mergeCell ref="B221:F221"/>
    <mergeCell ref="A12:A13"/>
    <mergeCell ref="C16:F16"/>
    <mergeCell ref="C17:F17"/>
    <mergeCell ref="C18:F18"/>
    <mergeCell ref="C19:F19"/>
    <mergeCell ref="B14:F14"/>
    <mergeCell ref="B12:B13"/>
    <mergeCell ref="C12:C13"/>
    <mergeCell ref="D12:F12"/>
    <mergeCell ref="B15:F15"/>
    <mergeCell ref="C404:F404"/>
    <mergeCell ref="C325:F325"/>
    <mergeCell ref="C413:F413"/>
    <mergeCell ref="C414:F414"/>
    <mergeCell ref="B415:F415"/>
    <mergeCell ref="C333:F333"/>
    <mergeCell ref="C337:F337"/>
    <mergeCell ref="C326:F326"/>
    <mergeCell ref="C328:F328"/>
    <mergeCell ref="C395:F395"/>
    <mergeCell ref="C387:F387"/>
    <mergeCell ref="C386:F386"/>
    <mergeCell ref="C389:F389"/>
    <mergeCell ref="C341:F341"/>
    <mergeCell ref="C379:F379"/>
    <mergeCell ref="C416:F416"/>
    <mergeCell ref="A543:F543"/>
    <mergeCell ref="A541:F541"/>
    <mergeCell ref="C449:F449"/>
    <mergeCell ref="C450:F450"/>
    <mergeCell ref="C453:F453"/>
    <mergeCell ref="C515:F515"/>
    <mergeCell ref="B434:F434"/>
    <mergeCell ref="C439:F439"/>
    <mergeCell ref="C442:F442"/>
    <mergeCell ref="B419:F419"/>
    <mergeCell ref="B425:F425"/>
    <mergeCell ref="C432:F432"/>
    <mergeCell ref="C433:F433"/>
    <mergeCell ref="C438:F438"/>
    <mergeCell ref="A540:F540"/>
  </mergeCells>
  <pageMargins left="0.70866141732283472" right="0.70866141732283472" top="0.74803149606299213" bottom="0.74803149606299213" header="0.31496062992125984" footer="0.31496062992125984"/>
  <pageSetup paperSize="8" scale="83" fitToHeight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5"/>
  <sheetViews>
    <sheetView view="pageBreakPreview" topLeftCell="A107" zoomScale="85" zoomScaleNormal="100" zoomScaleSheetLayoutView="85" workbookViewId="0">
      <selection activeCell="I1" sqref="I1:N1048576"/>
    </sheetView>
  </sheetViews>
  <sheetFormatPr defaultColWidth="6" defaultRowHeight="15.75" x14ac:dyDescent="0.25"/>
  <cols>
    <col min="1" max="1" width="10.28515625" style="27" customWidth="1"/>
    <col min="2" max="2" width="30.28515625" style="27" customWidth="1"/>
    <col min="3" max="3" width="11" style="27" customWidth="1"/>
    <col min="4" max="5" width="16.28515625" style="27" customWidth="1"/>
    <col min="6" max="6" width="10.85546875" style="27" customWidth="1"/>
    <col min="7" max="7" width="15" style="27" customWidth="1"/>
    <col min="8" max="9" width="14.28515625" style="27" customWidth="1"/>
    <col min="10" max="10" width="13" style="1" customWidth="1"/>
    <col min="11" max="12" width="7.85546875" style="1" customWidth="1"/>
    <col min="13" max="13" width="7.5703125" style="1" bestFit="1" customWidth="1"/>
    <col min="14" max="14" width="8.85546875" style="1" customWidth="1"/>
    <col min="15" max="15" width="6.85546875" style="1" bestFit="1" customWidth="1"/>
    <col min="16" max="240" width="6" style="1"/>
    <col min="241" max="241" width="5.7109375" style="1" customWidth="1"/>
    <col min="242" max="242" width="30.28515625" style="1" customWidth="1"/>
    <col min="243" max="243" width="11" style="1" customWidth="1"/>
    <col min="244" max="244" width="19.85546875" style="1" customWidth="1"/>
    <col min="245" max="245" width="18.85546875" style="1" customWidth="1"/>
    <col min="246" max="248" width="15.42578125" style="1" customWidth="1"/>
    <col min="249" max="496" width="6" style="1"/>
    <col min="497" max="497" width="5.7109375" style="1" customWidth="1"/>
    <col min="498" max="498" width="30.28515625" style="1" customWidth="1"/>
    <col min="499" max="499" width="11" style="1" customWidth="1"/>
    <col min="500" max="500" width="19.85546875" style="1" customWidth="1"/>
    <col min="501" max="501" width="18.85546875" style="1" customWidth="1"/>
    <col min="502" max="504" width="15.42578125" style="1" customWidth="1"/>
    <col min="505" max="752" width="6" style="1"/>
    <col min="753" max="753" width="5.7109375" style="1" customWidth="1"/>
    <col min="754" max="754" width="30.28515625" style="1" customWidth="1"/>
    <col min="755" max="755" width="11" style="1" customWidth="1"/>
    <col min="756" max="756" width="19.85546875" style="1" customWidth="1"/>
    <col min="757" max="757" width="18.85546875" style="1" customWidth="1"/>
    <col min="758" max="760" width="15.42578125" style="1" customWidth="1"/>
    <col min="761" max="1008" width="6" style="1"/>
    <col min="1009" max="1009" width="5.7109375" style="1" customWidth="1"/>
    <col min="1010" max="1010" width="30.28515625" style="1" customWidth="1"/>
    <col min="1011" max="1011" width="11" style="1" customWidth="1"/>
    <col min="1012" max="1012" width="19.85546875" style="1" customWidth="1"/>
    <col min="1013" max="1013" width="18.85546875" style="1" customWidth="1"/>
    <col min="1014" max="1016" width="15.42578125" style="1" customWidth="1"/>
    <col min="1017" max="1264" width="6" style="1"/>
    <col min="1265" max="1265" width="5.7109375" style="1" customWidth="1"/>
    <col min="1266" max="1266" width="30.28515625" style="1" customWidth="1"/>
    <col min="1267" max="1267" width="11" style="1" customWidth="1"/>
    <col min="1268" max="1268" width="19.85546875" style="1" customWidth="1"/>
    <col min="1269" max="1269" width="18.85546875" style="1" customWidth="1"/>
    <col min="1270" max="1272" width="15.42578125" style="1" customWidth="1"/>
    <col min="1273" max="1520" width="6" style="1"/>
    <col min="1521" max="1521" width="5.7109375" style="1" customWidth="1"/>
    <col min="1522" max="1522" width="30.28515625" style="1" customWidth="1"/>
    <col min="1523" max="1523" width="11" style="1" customWidth="1"/>
    <col min="1524" max="1524" width="19.85546875" style="1" customWidth="1"/>
    <col min="1525" max="1525" width="18.85546875" style="1" customWidth="1"/>
    <col min="1526" max="1528" width="15.42578125" style="1" customWidth="1"/>
    <col min="1529" max="1776" width="6" style="1"/>
    <col min="1777" max="1777" width="5.7109375" style="1" customWidth="1"/>
    <col min="1778" max="1778" width="30.28515625" style="1" customWidth="1"/>
    <col min="1779" max="1779" width="11" style="1" customWidth="1"/>
    <col min="1780" max="1780" width="19.85546875" style="1" customWidth="1"/>
    <col min="1781" max="1781" width="18.85546875" style="1" customWidth="1"/>
    <col min="1782" max="1784" width="15.42578125" style="1" customWidth="1"/>
    <col min="1785" max="2032" width="6" style="1"/>
    <col min="2033" max="2033" width="5.7109375" style="1" customWidth="1"/>
    <col min="2034" max="2034" width="30.28515625" style="1" customWidth="1"/>
    <col min="2035" max="2035" width="11" style="1" customWidth="1"/>
    <col min="2036" max="2036" width="19.85546875" style="1" customWidth="1"/>
    <col min="2037" max="2037" width="18.85546875" style="1" customWidth="1"/>
    <col min="2038" max="2040" width="15.42578125" style="1" customWidth="1"/>
    <col min="2041" max="2288" width="6" style="1"/>
    <col min="2289" max="2289" width="5.7109375" style="1" customWidth="1"/>
    <col min="2290" max="2290" width="30.28515625" style="1" customWidth="1"/>
    <col min="2291" max="2291" width="11" style="1" customWidth="1"/>
    <col min="2292" max="2292" width="19.85546875" style="1" customWidth="1"/>
    <col min="2293" max="2293" width="18.85546875" style="1" customWidth="1"/>
    <col min="2294" max="2296" width="15.42578125" style="1" customWidth="1"/>
    <col min="2297" max="2544" width="6" style="1"/>
    <col min="2545" max="2545" width="5.7109375" style="1" customWidth="1"/>
    <col min="2546" max="2546" width="30.28515625" style="1" customWidth="1"/>
    <col min="2547" max="2547" width="11" style="1" customWidth="1"/>
    <col min="2548" max="2548" width="19.85546875" style="1" customWidth="1"/>
    <col min="2549" max="2549" width="18.85546875" style="1" customWidth="1"/>
    <col min="2550" max="2552" width="15.42578125" style="1" customWidth="1"/>
    <col min="2553" max="2800" width="6" style="1"/>
    <col min="2801" max="2801" width="5.7109375" style="1" customWidth="1"/>
    <col min="2802" max="2802" width="30.28515625" style="1" customWidth="1"/>
    <col min="2803" max="2803" width="11" style="1" customWidth="1"/>
    <col min="2804" max="2804" width="19.85546875" style="1" customWidth="1"/>
    <col min="2805" max="2805" width="18.85546875" style="1" customWidth="1"/>
    <col min="2806" max="2808" width="15.42578125" style="1" customWidth="1"/>
    <col min="2809" max="3056" width="6" style="1"/>
    <col min="3057" max="3057" width="5.7109375" style="1" customWidth="1"/>
    <col min="3058" max="3058" width="30.28515625" style="1" customWidth="1"/>
    <col min="3059" max="3059" width="11" style="1" customWidth="1"/>
    <col min="3060" max="3060" width="19.85546875" style="1" customWidth="1"/>
    <col min="3061" max="3061" width="18.85546875" style="1" customWidth="1"/>
    <col min="3062" max="3064" width="15.42578125" style="1" customWidth="1"/>
    <col min="3065" max="3312" width="6" style="1"/>
    <col min="3313" max="3313" width="5.7109375" style="1" customWidth="1"/>
    <col min="3314" max="3314" width="30.28515625" style="1" customWidth="1"/>
    <col min="3315" max="3315" width="11" style="1" customWidth="1"/>
    <col min="3316" max="3316" width="19.85546875" style="1" customWidth="1"/>
    <col min="3317" max="3317" width="18.85546875" style="1" customWidth="1"/>
    <col min="3318" max="3320" width="15.42578125" style="1" customWidth="1"/>
    <col min="3321" max="3568" width="6" style="1"/>
    <col min="3569" max="3569" width="5.7109375" style="1" customWidth="1"/>
    <col min="3570" max="3570" width="30.28515625" style="1" customWidth="1"/>
    <col min="3571" max="3571" width="11" style="1" customWidth="1"/>
    <col min="3572" max="3572" width="19.85546875" style="1" customWidth="1"/>
    <col min="3573" max="3573" width="18.85546875" style="1" customWidth="1"/>
    <col min="3574" max="3576" width="15.42578125" style="1" customWidth="1"/>
    <col min="3577" max="3824" width="6" style="1"/>
    <col min="3825" max="3825" width="5.7109375" style="1" customWidth="1"/>
    <col min="3826" max="3826" width="30.28515625" style="1" customWidth="1"/>
    <col min="3827" max="3827" width="11" style="1" customWidth="1"/>
    <col min="3828" max="3828" width="19.85546875" style="1" customWidth="1"/>
    <col min="3829" max="3829" width="18.85546875" style="1" customWidth="1"/>
    <col min="3830" max="3832" width="15.42578125" style="1" customWidth="1"/>
    <col min="3833" max="4080" width="6" style="1"/>
    <col min="4081" max="4081" width="5.7109375" style="1" customWidth="1"/>
    <col min="4082" max="4082" width="30.28515625" style="1" customWidth="1"/>
    <col min="4083" max="4083" width="11" style="1" customWidth="1"/>
    <col min="4084" max="4084" width="19.85546875" style="1" customWidth="1"/>
    <col min="4085" max="4085" width="18.85546875" style="1" customWidth="1"/>
    <col min="4086" max="4088" width="15.42578125" style="1" customWidth="1"/>
    <col min="4089" max="4336" width="6" style="1"/>
    <col min="4337" max="4337" width="5.7109375" style="1" customWidth="1"/>
    <col min="4338" max="4338" width="30.28515625" style="1" customWidth="1"/>
    <col min="4339" max="4339" width="11" style="1" customWidth="1"/>
    <col min="4340" max="4340" width="19.85546875" style="1" customWidth="1"/>
    <col min="4341" max="4341" width="18.85546875" style="1" customWidth="1"/>
    <col min="4342" max="4344" width="15.42578125" style="1" customWidth="1"/>
    <col min="4345" max="4592" width="6" style="1"/>
    <col min="4593" max="4593" width="5.7109375" style="1" customWidth="1"/>
    <col min="4594" max="4594" width="30.28515625" style="1" customWidth="1"/>
    <col min="4595" max="4595" width="11" style="1" customWidth="1"/>
    <col min="4596" max="4596" width="19.85546875" style="1" customWidth="1"/>
    <col min="4597" max="4597" width="18.85546875" style="1" customWidth="1"/>
    <col min="4598" max="4600" width="15.42578125" style="1" customWidth="1"/>
    <col min="4601" max="4848" width="6" style="1"/>
    <col min="4849" max="4849" width="5.7109375" style="1" customWidth="1"/>
    <col min="4850" max="4850" width="30.28515625" style="1" customWidth="1"/>
    <col min="4851" max="4851" width="11" style="1" customWidth="1"/>
    <col min="4852" max="4852" width="19.85546875" style="1" customWidth="1"/>
    <col min="4853" max="4853" width="18.85546875" style="1" customWidth="1"/>
    <col min="4854" max="4856" width="15.42578125" style="1" customWidth="1"/>
    <col min="4857" max="5104" width="6" style="1"/>
    <col min="5105" max="5105" width="5.7109375" style="1" customWidth="1"/>
    <col min="5106" max="5106" width="30.28515625" style="1" customWidth="1"/>
    <col min="5107" max="5107" width="11" style="1" customWidth="1"/>
    <col min="5108" max="5108" width="19.85546875" style="1" customWidth="1"/>
    <col min="5109" max="5109" width="18.85546875" style="1" customWidth="1"/>
    <col min="5110" max="5112" width="15.42578125" style="1" customWidth="1"/>
    <col min="5113" max="5360" width="6" style="1"/>
    <col min="5361" max="5361" width="5.7109375" style="1" customWidth="1"/>
    <col min="5362" max="5362" width="30.28515625" style="1" customWidth="1"/>
    <col min="5363" max="5363" width="11" style="1" customWidth="1"/>
    <col min="5364" max="5364" width="19.85546875" style="1" customWidth="1"/>
    <col min="5365" max="5365" width="18.85546875" style="1" customWidth="1"/>
    <col min="5366" max="5368" width="15.42578125" style="1" customWidth="1"/>
    <col min="5369" max="5616" width="6" style="1"/>
    <col min="5617" max="5617" width="5.7109375" style="1" customWidth="1"/>
    <col min="5618" max="5618" width="30.28515625" style="1" customWidth="1"/>
    <col min="5619" max="5619" width="11" style="1" customWidth="1"/>
    <col min="5620" max="5620" width="19.85546875" style="1" customWidth="1"/>
    <col min="5621" max="5621" width="18.85546875" style="1" customWidth="1"/>
    <col min="5622" max="5624" width="15.42578125" style="1" customWidth="1"/>
    <col min="5625" max="5872" width="6" style="1"/>
    <col min="5873" max="5873" width="5.7109375" style="1" customWidth="1"/>
    <col min="5874" max="5874" width="30.28515625" style="1" customWidth="1"/>
    <col min="5875" max="5875" width="11" style="1" customWidth="1"/>
    <col min="5876" max="5876" width="19.85546875" style="1" customWidth="1"/>
    <col min="5877" max="5877" width="18.85546875" style="1" customWidth="1"/>
    <col min="5878" max="5880" width="15.42578125" style="1" customWidth="1"/>
    <col min="5881" max="6128" width="6" style="1"/>
    <col min="6129" max="6129" width="5.7109375" style="1" customWidth="1"/>
    <col min="6130" max="6130" width="30.28515625" style="1" customWidth="1"/>
    <col min="6131" max="6131" width="11" style="1" customWidth="1"/>
    <col min="6132" max="6132" width="19.85546875" style="1" customWidth="1"/>
    <col min="6133" max="6133" width="18.85546875" style="1" customWidth="1"/>
    <col min="6134" max="6136" width="15.42578125" style="1" customWidth="1"/>
    <col min="6137" max="6384" width="6" style="1"/>
    <col min="6385" max="6385" width="5.7109375" style="1" customWidth="1"/>
    <col min="6386" max="6386" width="30.28515625" style="1" customWidth="1"/>
    <col min="6387" max="6387" width="11" style="1" customWidth="1"/>
    <col min="6388" max="6388" width="19.85546875" style="1" customWidth="1"/>
    <col min="6389" max="6389" width="18.85546875" style="1" customWidth="1"/>
    <col min="6390" max="6392" width="15.42578125" style="1" customWidth="1"/>
    <col min="6393" max="6640" width="6" style="1"/>
    <col min="6641" max="6641" width="5.7109375" style="1" customWidth="1"/>
    <col min="6642" max="6642" width="30.28515625" style="1" customWidth="1"/>
    <col min="6643" max="6643" width="11" style="1" customWidth="1"/>
    <col min="6644" max="6644" width="19.85546875" style="1" customWidth="1"/>
    <col min="6645" max="6645" width="18.85546875" style="1" customWidth="1"/>
    <col min="6646" max="6648" width="15.42578125" style="1" customWidth="1"/>
    <col min="6649" max="6896" width="6" style="1"/>
    <col min="6897" max="6897" width="5.7109375" style="1" customWidth="1"/>
    <col min="6898" max="6898" width="30.28515625" style="1" customWidth="1"/>
    <col min="6899" max="6899" width="11" style="1" customWidth="1"/>
    <col min="6900" max="6900" width="19.85546875" style="1" customWidth="1"/>
    <col min="6901" max="6901" width="18.85546875" style="1" customWidth="1"/>
    <col min="6902" max="6904" width="15.42578125" style="1" customWidth="1"/>
    <col min="6905" max="7152" width="6" style="1"/>
    <col min="7153" max="7153" width="5.7109375" style="1" customWidth="1"/>
    <col min="7154" max="7154" width="30.28515625" style="1" customWidth="1"/>
    <col min="7155" max="7155" width="11" style="1" customWidth="1"/>
    <col min="7156" max="7156" width="19.85546875" style="1" customWidth="1"/>
    <col min="7157" max="7157" width="18.85546875" style="1" customWidth="1"/>
    <col min="7158" max="7160" width="15.42578125" style="1" customWidth="1"/>
    <col min="7161" max="7408" width="6" style="1"/>
    <col min="7409" max="7409" width="5.7109375" style="1" customWidth="1"/>
    <col min="7410" max="7410" width="30.28515625" style="1" customWidth="1"/>
    <col min="7411" max="7411" width="11" style="1" customWidth="1"/>
    <col min="7412" max="7412" width="19.85546875" style="1" customWidth="1"/>
    <col min="7413" max="7413" width="18.85546875" style="1" customWidth="1"/>
    <col min="7414" max="7416" width="15.42578125" style="1" customWidth="1"/>
    <col min="7417" max="7664" width="6" style="1"/>
    <col min="7665" max="7665" width="5.7109375" style="1" customWidth="1"/>
    <col min="7666" max="7666" width="30.28515625" style="1" customWidth="1"/>
    <col min="7667" max="7667" width="11" style="1" customWidth="1"/>
    <col min="7668" max="7668" width="19.85546875" style="1" customWidth="1"/>
    <col min="7669" max="7669" width="18.85546875" style="1" customWidth="1"/>
    <col min="7670" max="7672" width="15.42578125" style="1" customWidth="1"/>
    <col min="7673" max="7920" width="6" style="1"/>
    <col min="7921" max="7921" width="5.7109375" style="1" customWidth="1"/>
    <col min="7922" max="7922" width="30.28515625" style="1" customWidth="1"/>
    <col min="7923" max="7923" width="11" style="1" customWidth="1"/>
    <col min="7924" max="7924" width="19.85546875" style="1" customWidth="1"/>
    <col min="7925" max="7925" width="18.85546875" style="1" customWidth="1"/>
    <col min="7926" max="7928" width="15.42578125" style="1" customWidth="1"/>
    <col min="7929" max="8176" width="6" style="1"/>
    <col min="8177" max="8177" width="5.7109375" style="1" customWidth="1"/>
    <col min="8178" max="8178" width="30.28515625" style="1" customWidth="1"/>
    <col min="8179" max="8179" width="11" style="1" customWidth="1"/>
    <col min="8180" max="8180" width="19.85546875" style="1" customWidth="1"/>
    <col min="8181" max="8181" width="18.85546875" style="1" customWidth="1"/>
    <col min="8182" max="8184" width="15.42578125" style="1" customWidth="1"/>
    <col min="8185" max="8432" width="6" style="1"/>
    <col min="8433" max="8433" width="5.7109375" style="1" customWidth="1"/>
    <col min="8434" max="8434" width="30.28515625" style="1" customWidth="1"/>
    <col min="8435" max="8435" width="11" style="1" customWidth="1"/>
    <col min="8436" max="8436" width="19.85546875" style="1" customWidth="1"/>
    <col min="8437" max="8437" width="18.85546875" style="1" customWidth="1"/>
    <col min="8438" max="8440" width="15.42578125" style="1" customWidth="1"/>
    <col min="8441" max="8688" width="6" style="1"/>
    <col min="8689" max="8689" width="5.7109375" style="1" customWidth="1"/>
    <col min="8690" max="8690" width="30.28515625" style="1" customWidth="1"/>
    <col min="8691" max="8691" width="11" style="1" customWidth="1"/>
    <col min="8692" max="8692" width="19.85546875" style="1" customWidth="1"/>
    <col min="8693" max="8693" width="18.85546875" style="1" customWidth="1"/>
    <col min="8694" max="8696" width="15.42578125" style="1" customWidth="1"/>
    <col min="8697" max="8944" width="6" style="1"/>
    <col min="8945" max="8945" width="5.7109375" style="1" customWidth="1"/>
    <col min="8946" max="8946" width="30.28515625" style="1" customWidth="1"/>
    <col min="8947" max="8947" width="11" style="1" customWidth="1"/>
    <col min="8948" max="8948" width="19.85546875" style="1" customWidth="1"/>
    <col min="8949" max="8949" width="18.85546875" style="1" customWidth="1"/>
    <col min="8950" max="8952" width="15.42578125" style="1" customWidth="1"/>
    <col min="8953" max="9200" width="6" style="1"/>
    <col min="9201" max="9201" width="5.7109375" style="1" customWidth="1"/>
    <col min="9202" max="9202" width="30.28515625" style="1" customWidth="1"/>
    <col min="9203" max="9203" width="11" style="1" customWidth="1"/>
    <col min="9204" max="9204" width="19.85546875" style="1" customWidth="1"/>
    <col min="9205" max="9205" width="18.85546875" style="1" customWidth="1"/>
    <col min="9206" max="9208" width="15.42578125" style="1" customWidth="1"/>
    <col min="9209" max="9456" width="6" style="1"/>
    <col min="9457" max="9457" width="5.7109375" style="1" customWidth="1"/>
    <col min="9458" max="9458" width="30.28515625" style="1" customWidth="1"/>
    <col min="9459" max="9459" width="11" style="1" customWidth="1"/>
    <col min="9460" max="9460" width="19.85546875" style="1" customWidth="1"/>
    <col min="9461" max="9461" width="18.85546875" style="1" customWidth="1"/>
    <col min="9462" max="9464" width="15.42578125" style="1" customWidth="1"/>
    <col min="9465" max="9712" width="6" style="1"/>
    <col min="9713" max="9713" width="5.7109375" style="1" customWidth="1"/>
    <col min="9714" max="9714" width="30.28515625" style="1" customWidth="1"/>
    <col min="9715" max="9715" width="11" style="1" customWidth="1"/>
    <col min="9716" max="9716" width="19.85546875" style="1" customWidth="1"/>
    <col min="9717" max="9717" width="18.85546875" style="1" customWidth="1"/>
    <col min="9718" max="9720" width="15.42578125" style="1" customWidth="1"/>
    <col min="9721" max="9968" width="6" style="1"/>
    <col min="9969" max="9969" width="5.7109375" style="1" customWidth="1"/>
    <col min="9970" max="9970" width="30.28515625" style="1" customWidth="1"/>
    <col min="9971" max="9971" width="11" style="1" customWidth="1"/>
    <col min="9972" max="9972" width="19.85546875" style="1" customWidth="1"/>
    <col min="9973" max="9973" width="18.85546875" style="1" customWidth="1"/>
    <col min="9974" max="9976" width="15.42578125" style="1" customWidth="1"/>
    <col min="9977" max="10224" width="6" style="1"/>
    <col min="10225" max="10225" width="5.7109375" style="1" customWidth="1"/>
    <col min="10226" max="10226" width="30.28515625" style="1" customWidth="1"/>
    <col min="10227" max="10227" width="11" style="1" customWidth="1"/>
    <col min="10228" max="10228" width="19.85546875" style="1" customWidth="1"/>
    <col min="10229" max="10229" width="18.85546875" style="1" customWidth="1"/>
    <col min="10230" max="10232" width="15.42578125" style="1" customWidth="1"/>
    <col min="10233" max="10480" width="6" style="1"/>
    <col min="10481" max="10481" width="5.7109375" style="1" customWidth="1"/>
    <col min="10482" max="10482" width="30.28515625" style="1" customWidth="1"/>
    <col min="10483" max="10483" width="11" style="1" customWidth="1"/>
    <col min="10484" max="10484" width="19.85546875" style="1" customWidth="1"/>
    <col min="10485" max="10485" width="18.85546875" style="1" customWidth="1"/>
    <col min="10486" max="10488" width="15.42578125" style="1" customWidth="1"/>
    <col min="10489" max="10736" width="6" style="1"/>
    <col min="10737" max="10737" width="5.7109375" style="1" customWidth="1"/>
    <col min="10738" max="10738" width="30.28515625" style="1" customWidth="1"/>
    <col min="10739" max="10739" width="11" style="1" customWidth="1"/>
    <col min="10740" max="10740" width="19.85546875" style="1" customWidth="1"/>
    <col min="10741" max="10741" width="18.85546875" style="1" customWidth="1"/>
    <col min="10742" max="10744" width="15.42578125" style="1" customWidth="1"/>
    <col min="10745" max="10992" width="6" style="1"/>
    <col min="10993" max="10993" width="5.7109375" style="1" customWidth="1"/>
    <col min="10994" max="10994" width="30.28515625" style="1" customWidth="1"/>
    <col min="10995" max="10995" width="11" style="1" customWidth="1"/>
    <col min="10996" max="10996" width="19.85546875" style="1" customWidth="1"/>
    <col min="10997" max="10997" width="18.85546875" style="1" customWidth="1"/>
    <col min="10998" max="11000" width="15.42578125" style="1" customWidth="1"/>
    <col min="11001" max="11248" width="6" style="1"/>
    <col min="11249" max="11249" width="5.7109375" style="1" customWidth="1"/>
    <col min="11250" max="11250" width="30.28515625" style="1" customWidth="1"/>
    <col min="11251" max="11251" width="11" style="1" customWidth="1"/>
    <col min="11252" max="11252" width="19.85546875" style="1" customWidth="1"/>
    <col min="11253" max="11253" width="18.85546875" style="1" customWidth="1"/>
    <col min="11254" max="11256" width="15.42578125" style="1" customWidth="1"/>
    <col min="11257" max="11504" width="6" style="1"/>
    <col min="11505" max="11505" width="5.7109375" style="1" customWidth="1"/>
    <col min="11506" max="11506" width="30.28515625" style="1" customWidth="1"/>
    <col min="11507" max="11507" width="11" style="1" customWidth="1"/>
    <col min="11508" max="11508" width="19.85546875" style="1" customWidth="1"/>
    <col min="11509" max="11509" width="18.85546875" style="1" customWidth="1"/>
    <col min="11510" max="11512" width="15.42578125" style="1" customWidth="1"/>
    <col min="11513" max="11760" width="6" style="1"/>
    <col min="11761" max="11761" width="5.7109375" style="1" customWidth="1"/>
    <col min="11762" max="11762" width="30.28515625" style="1" customWidth="1"/>
    <col min="11763" max="11763" width="11" style="1" customWidth="1"/>
    <col min="11764" max="11764" width="19.85546875" style="1" customWidth="1"/>
    <col min="11765" max="11765" width="18.85546875" style="1" customWidth="1"/>
    <col min="11766" max="11768" width="15.42578125" style="1" customWidth="1"/>
    <col min="11769" max="12016" width="6" style="1"/>
    <col min="12017" max="12017" width="5.7109375" style="1" customWidth="1"/>
    <col min="12018" max="12018" width="30.28515625" style="1" customWidth="1"/>
    <col min="12019" max="12019" width="11" style="1" customWidth="1"/>
    <col min="12020" max="12020" width="19.85546875" style="1" customWidth="1"/>
    <col min="12021" max="12021" width="18.85546875" style="1" customWidth="1"/>
    <col min="12022" max="12024" width="15.42578125" style="1" customWidth="1"/>
    <col min="12025" max="12272" width="6" style="1"/>
    <col min="12273" max="12273" width="5.7109375" style="1" customWidth="1"/>
    <col min="12274" max="12274" width="30.28515625" style="1" customWidth="1"/>
    <col min="12275" max="12275" width="11" style="1" customWidth="1"/>
    <col min="12276" max="12276" width="19.85546875" style="1" customWidth="1"/>
    <col min="12277" max="12277" width="18.85546875" style="1" customWidth="1"/>
    <col min="12278" max="12280" width="15.42578125" style="1" customWidth="1"/>
    <col min="12281" max="12528" width="6" style="1"/>
    <col min="12529" max="12529" width="5.7109375" style="1" customWidth="1"/>
    <col min="12530" max="12530" width="30.28515625" style="1" customWidth="1"/>
    <col min="12531" max="12531" width="11" style="1" customWidth="1"/>
    <col min="12532" max="12532" width="19.85546875" style="1" customWidth="1"/>
    <col min="12533" max="12533" width="18.85546875" style="1" customWidth="1"/>
    <col min="12534" max="12536" width="15.42578125" style="1" customWidth="1"/>
    <col min="12537" max="12784" width="6" style="1"/>
    <col min="12785" max="12785" width="5.7109375" style="1" customWidth="1"/>
    <col min="12786" max="12786" width="30.28515625" style="1" customWidth="1"/>
    <col min="12787" max="12787" width="11" style="1" customWidth="1"/>
    <col min="12788" max="12788" width="19.85546875" style="1" customWidth="1"/>
    <col min="12789" max="12789" width="18.85546875" style="1" customWidth="1"/>
    <col min="12790" max="12792" width="15.42578125" style="1" customWidth="1"/>
    <col min="12793" max="13040" width="6" style="1"/>
    <col min="13041" max="13041" width="5.7109375" style="1" customWidth="1"/>
    <col min="13042" max="13042" width="30.28515625" style="1" customWidth="1"/>
    <col min="13043" max="13043" width="11" style="1" customWidth="1"/>
    <col min="13044" max="13044" width="19.85546875" style="1" customWidth="1"/>
    <col min="13045" max="13045" width="18.85546875" style="1" customWidth="1"/>
    <col min="13046" max="13048" width="15.42578125" style="1" customWidth="1"/>
    <col min="13049" max="13296" width="6" style="1"/>
    <col min="13297" max="13297" width="5.7109375" style="1" customWidth="1"/>
    <col min="13298" max="13298" width="30.28515625" style="1" customWidth="1"/>
    <col min="13299" max="13299" width="11" style="1" customWidth="1"/>
    <col min="13300" max="13300" width="19.85546875" style="1" customWidth="1"/>
    <col min="13301" max="13301" width="18.85546875" style="1" customWidth="1"/>
    <col min="13302" max="13304" width="15.42578125" style="1" customWidth="1"/>
    <col min="13305" max="13552" width="6" style="1"/>
    <col min="13553" max="13553" width="5.7109375" style="1" customWidth="1"/>
    <col min="13554" max="13554" width="30.28515625" style="1" customWidth="1"/>
    <col min="13555" max="13555" width="11" style="1" customWidth="1"/>
    <col min="13556" max="13556" width="19.85546875" style="1" customWidth="1"/>
    <col min="13557" max="13557" width="18.85546875" style="1" customWidth="1"/>
    <col min="13558" max="13560" width="15.42578125" style="1" customWidth="1"/>
    <col min="13561" max="13808" width="6" style="1"/>
    <col min="13809" max="13809" width="5.7109375" style="1" customWidth="1"/>
    <col min="13810" max="13810" width="30.28515625" style="1" customWidth="1"/>
    <col min="13811" max="13811" width="11" style="1" customWidth="1"/>
    <col min="13812" max="13812" width="19.85546875" style="1" customWidth="1"/>
    <col min="13813" max="13813" width="18.85546875" style="1" customWidth="1"/>
    <col min="13814" max="13816" width="15.42578125" style="1" customWidth="1"/>
    <col min="13817" max="14064" width="6" style="1"/>
    <col min="14065" max="14065" width="5.7109375" style="1" customWidth="1"/>
    <col min="14066" max="14066" width="30.28515625" style="1" customWidth="1"/>
    <col min="14067" max="14067" width="11" style="1" customWidth="1"/>
    <col min="14068" max="14068" width="19.85546875" style="1" customWidth="1"/>
    <col min="14069" max="14069" width="18.85546875" style="1" customWidth="1"/>
    <col min="14070" max="14072" width="15.42578125" style="1" customWidth="1"/>
    <col min="14073" max="14320" width="6" style="1"/>
    <col min="14321" max="14321" width="5.7109375" style="1" customWidth="1"/>
    <col min="14322" max="14322" width="30.28515625" style="1" customWidth="1"/>
    <col min="14323" max="14323" width="11" style="1" customWidth="1"/>
    <col min="14324" max="14324" width="19.85546875" style="1" customWidth="1"/>
    <col min="14325" max="14325" width="18.85546875" style="1" customWidth="1"/>
    <col min="14326" max="14328" width="15.42578125" style="1" customWidth="1"/>
    <col min="14329" max="14576" width="6" style="1"/>
    <col min="14577" max="14577" width="5.7109375" style="1" customWidth="1"/>
    <col min="14578" max="14578" width="30.28515625" style="1" customWidth="1"/>
    <col min="14579" max="14579" width="11" style="1" customWidth="1"/>
    <col min="14580" max="14580" width="19.85546875" style="1" customWidth="1"/>
    <col min="14581" max="14581" width="18.85546875" style="1" customWidth="1"/>
    <col min="14582" max="14584" width="15.42578125" style="1" customWidth="1"/>
    <col min="14585" max="14832" width="6" style="1"/>
    <col min="14833" max="14833" width="5.7109375" style="1" customWidth="1"/>
    <col min="14834" max="14834" width="30.28515625" style="1" customWidth="1"/>
    <col min="14835" max="14835" width="11" style="1" customWidth="1"/>
    <col min="14836" max="14836" width="19.85546875" style="1" customWidth="1"/>
    <col min="14837" max="14837" width="18.85546875" style="1" customWidth="1"/>
    <col min="14838" max="14840" width="15.42578125" style="1" customWidth="1"/>
    <col min="14841" max="15088" width="6" style="1"/>
    <col min="15089" max="15089" width="5.7109375" style="1" customWidth="1"/>
    <col min="15090" max="15090" width="30.28515625" style="1" customWidth="1"/>
    <col min="15091" max="15091" width="11" style="1" customWidth="1"/>
    <col min="15092" max="15092" width="19.85546875" style="1" customWidth="1"/>
    <col min="15093" max="15093" width="18.85546875" style="1" customWidth="1"/>
    <col min="15094" max="15096" width="15.42578125" style="1" customWidth="1"/>
    <col min="15097" max="15344" width="6" style="1"/>
    <col min="15345" max="15345" width="5.7109375" style="1" customWidth="1"/>
    <col min="15346" max="15346" width="30.28515625" style="1" customWidth="1"/>
    <col min="15347" max="15347" width="11" style="1" customWidth="1"/>
    <col min="15348" max="15348" width="19.85546875" style="1" customWidth="1"/>
    <col min="15349" max="15349" width="18.85546875" style="1" customWidth="1"/>
    <col min="15350" max="15352" width="15.42578125" style="1" customWidth="1"/>
    <col min="15353" max="15600" width="6" style="1"/>
    <col min="15601" max="15601" width="5.7109375" style="1" customWidth="1"/>
    <col min="15602" max="15602" width="30.28515625" style="1" customWidth="1"/>
    <col min="15603" max="15603" width="11" style="1" customWidth="1"/>
    <col min="15604" max="15604" width="19.85546875" style="1" customWidth="1"/>
    <col min="15605" max="15605" width="18.85546875" style="1" customWidth="1"/>
    <col min="15606" max="15608" width="15.42578125" style="1" customWidth="1"/>
    <col min="15609" max="15856" width="6" style="1"/>
    <col min="15857" max="15857" width="5.7109375" style="1" customWidth="1"/>
    <col min="15858" max="15858" width="30.28515625" style="1" customWidth="1"/>
    <col min="15859" max="15859" width="11" style="1" customWidth="1"/>
    <col min="15860" max="15860" width="19.85546875" style="1" customWidth="1"/>
    <col min="15861" max="15861" width="18.85546875" style="1" customWidth="1"/>
    <col min="15862" max="15864" width="15.42578125" style="1" customWidth="1"/>
    <col min="15865" max="16112" width="6" style="1"/>
    <col min="16113" max="16113" width="5.7109375" style="1" customWidth="1"/>
    <col min="16114" max="16114" width="30.28515625" style="1" customWidth="1"/>
    <col min="16115" max="16115" width="11" style="1" customWidth="1"/>
    <col min="16116" max="16116" width="19.85546875" style="1" customWidth="1"/>
    <col min="16117" max="16117" width="18.85546875" style="1" customWidth="1"/>
    <col min="16118" max="16120" width="15.42578125" style="1" customWidth="1"/>
    <col min="16121" max="16384" width="6" style="1"/>
  </cols>
  <sheetData>
    <row r="1" spans="1:10" x14ac:dyDescent="0.25">
      <c r="A1" s="40"/>
      <c r="B1" s="40"/>
      <c r="C1" s="40"/>
      <c r="D1" s="40"/>
      <c r="E1" s="40"/>
      <c r="F1" s="40"/>
      <c r="G1" s="40"/>
      <c r="H1" s="15" t="s">
        <v>293</v>
      </c>
      <c r="I1" s="15"/>
    </row>
    <row r="2" spans="1:10" x14ac:dyDescent="0.25">
      <c r="A2" s="40"/>
      <c r="B2" s="40"/>
      <c r="C2" s="40"/>
      <c r="D2" s="40"/>
      <c r="E2" s="40"/>
      <c r="F2" s="40"/>
      <c r="G2" s="40"/>
      <c r="H2" s="15" t="s">
        <v>434</v>
      </c>
      <c r="I2" s="15"/>
    </row>
    <row r="3" spans="1:10" x14ac:dyDescent="0.25">
      <c r="A3" s="40"/>
      <c r="B3" s="40"/>
      <c r="C3" s="40"/>
      <c r="D3" s="40"/>
      <c r="E3" s="40"/>
      <c r="F3" s="40"/>
      <c r="G3" s="40"/>
      <c r="H3" s="15" t="s">
        <v>1041</v>
      </c>
      <c r="I3" s="15"/>
    </row>
    <row r="4" spans="1:10" x14ac:dyDescent="0.25">
      <c r="A4" s="40"/>
      <c r="B4" s="40"/>
      <c r="C4" s="40"/>
      <c r="D4" s="40"/>
      <c r="E4" s="40"/>
      <c r="F4" s="40"/>
      <c r="G4" s="40"/>
      <c r="H4" s="15"/>
      <c r="I4" s="15"/>
    </row>
    <row r="5" spans="1:10" x14ac:dyDescent="0.25">
      <c r="A5" s="40"/>
      <c r="B5" s="40"/>
      <c r="C5" s="40"/>
      <c r="D5" s="40"/>
      <c r="E5" s="40"/>
      <c r="F5" s="40"/>
      <c r="G5" s="40"/>
      <c r="H5" s="15" t="s">
        <v>32</v>
      </c>
      <c r="I5" s="15"/>
    </row>
    <row r="6" spans="1:10" x14ac:dyDescent="0.25">
      <c r="A6" s="40"/>
      <c r="B6" s="40"/>
      <c r="C6" s="40"/>
      <c r="D6" s="40"/>
      <c r="E6" s="40"/>
      <c r="F6" s="40"/>
      <c r="G6" s="40"/>
      <c r="H6" s="15" t="s">
        <v>435</v>
      </c>
      <c r="I6" s="15"/>
    </row>
    <row r="7" spans="1:10" x14ac:dyDescent="0.25">
      <c r="A7" s="40"/>
      <c r="B7" s="40"/>
      <c r="C7" s="40"/>
      <c r="D7" s="40"/>
      <c r="E7" s="40"/>
      <c r="F7" s="40"/>
      <c r="G7" s="40"/>
      <c r="H7" s="15" t="s">
        <v>1062</v>
      </c>
      <c r="I7" s="15"/>
    </row>
    <row r="8" spans="1:10" x14ac:dyDescent="0.25">
      <c r="A8" s="40"/>
      <c r="B8" s="40"/>
      <c r="C8" s="40"/>
      <c r="D8" s="40"/>
      <c r="E8" s="40"/>
      <c r="F8" s="40"/>
      <c r="G8" s="40"/>
      <c r="H8" s="40"/>
      <c r="I8" s="40"/>
    </row>
    <row r="9" spans="1:10" s="4" customFormat="1" ht="18.75" x14ac:dyDescent="0.25">
      <c r="A9" s="164" t="s">
        <v>288</v>
      </c>
      <c r="B9" s="164"/>
      <c r="C9" s="164"/>
      <c r="D9" s="164"/>
      <c r="E9" s="164"/>
      <c r="F9" s="164"/>
      <c r="G9" s="164"/>
      <c r="H9" s="164"/>
      <c r="I9" s="106"/>
    </row>
    <row r="10" spans="1:10" s="4" customFormat="1" ht="18.75" x14ac:dyDescent="0.25">
      <c r="A10" s="164" t="s">
        <v>436</v>
      </c>
      <c r="B10" s="164"/>
      <c r="C10" s="164"/>
      <c r="D10" s="164"/>
      <c r="E10" s="164"/>
      <c r="F10" s="164"/>
      <c r="G10" s="164"/>
      <c r="H10" s="164"/>
      <c r="I10" s="106"/>
    </row>
    <row r="11" spans="1:10" ht="18.75" x14ac:dyDescent="0.25">
      <c r="A11" s="40"/>
      <c r="B11" s="41"/>
      <c r="C11" s="41"/>
      <c r="D11" s="41"/>
      <c r="E11" s="41"/>
      <c r="F11" s="40"/>
      <c r="G11" s="42"/>
      <c r="H11" s="42"/>
      <c r="I11" s="42"/>
    </row>
    <row r="12" spans="1:10" ht="18.75" x14ac:dyDescent="0.25">
      <c r="A12" s="174" t="s">
        <v>61</v>
      </c>
      <c r="B12" s="172" t="s">
        <v>62</v>
      </c>
      <c r="C12" s="172" t="s">
        <v>60</v>
      </c>
      <c r="D12" s="173" t="s">
        <v>1055</v>
      </c>
      <c r="E12" s="173"/>
      <c r="F12" s="173"/>
      <c r="G12" s="173"/>
      <c r="H12" s="173"/>
      <c r="I12" s="114"/>
      <c r="J12" s="27"/>
    </row>
    <row r="13" spans="1:10" ht="15.75" customHeight="1" x14ac:dyDescent="0.25">
      <c r="A13" s="174"/>
      <c r="B13" s="172"/>
      <c r="C13" s="172"/>
      <c r="D13" s="174" t="s">
        <v>0</v>
      </c>
      <c r="E13" s="174"/>
      <c r="F13" s="174"/>
      <c r="G13" s="174" t="s">
        <v>9</v>
      </c>
      <c r="H13" s="174" t="s">
        <v>49</v>
      </c>
      <c r="I13" s="115"/>
    </row>
    <row r="14" spans="1:10" ht="15.75" customHeight="1" x14ac:dyDescent="0.25">
      <c r="A14" s="174"/>
      <c r="B14" s="172"/>
      <c r="C14" s="172"/>
      <c r="D14" s="172" t="s">
        <v>50</v>
      </c>
      <c r="E14" s="172" t="s">
        <v>51</v>
      </c>
      <c r="F14" s="172" t="s">
        <v>52</v>
      </c>
      <c r="G14" s="174"/>
      <c r="H14" s="174"/>
      <c r="I14" s="115"/>
    </row>
    <row r="15" spans="1:10" x14ac:dyDescent="0.25">
      <c r="A15" s="174"/>
      <c r="B15" s="172"/>
      <c r="C15" s="172"/>
      <c r="D15" s="172"/>
      <c r="E15" s="172"/>
      <c r="F15" s="172"/>
      <c r="G15" s="174"/>
      <c r="H15" s="174"/>
      <c r="I15" s="115"/>
    </row>
    <row r="16" spans="1:10" s="20" customFormat="1" ht="21.75" customHeight="1" x14ac:dyDescent="0.25">
      <c r="A16" s="9" t="s">
        <v>415</v>
      </c>
      <c r="B16" s="11" t="s">
        <v>757</v>
      </c>
      <c r="C16" s="10"/>
      <c r="D16" s="10"/>
      <c r="E16" s="10"/>
      <c r="F16" s="10"/>
      <c r="G16" s="10"/>
      <c r="H16" s="10"/>
      <c r="I16" s="116"/>
    </row>
    <row r="17" spans="1:15" s="20" customFormat="1" ht="22.5" customHeight="1" x14ac:dyDescent="0.25">
      <c r="A17" s="9" t="s">
        <v>416</v>
      </c>
      <c r="B17" s="169" t="s">
        <v>1024</v>
      </c>
      <c r="C17" s="170"/>
      <c r="D17" s="170"/>
      <c r="E17" s="170"/>
      <c r="F17" s="170"/>
      <c r="G17" s="170"/>
      <c r="H17" s="171"/>
      <c r="I17" s="117"/>
    </row>
    <row r="18" spans="1:15" s="4" customFormat="1" ht="126" x14ac:dyDescent="0.25">
      <c r="A18" s="9" t="s">
        <v>417</v>
      </c>
      <c r="B18" s="8" t="s">
        <v>289</v>
      </c>
      <c r="C18" s="6" t="s">
        <v>430</v>
      </c>
      <c r="D18" s="6">
        <v>48672.270000000004</v>
      </c>
      <c r="E18" s="6">
        <v>0</v>
      </c>
      <c r="F18" s="6">
        <f t="shared" ref="F18:F23" si="0">D18+E18</f>
        <v>48672.270000000004</v>
      </c>
      <c r="G18" s="97">
        <f t="shared" ref="G18:G23" si="1">ROUND(F18*0.2,2)</f>
        <v>9734.4500000000007</v>
      </c>
      <c r="H18" s="97">
        <f t="shared" ref="H18:H23" si="2">F18+G18</f>
        <v>58406.720000000001</v>
      </c>
      <c r="I18" s="102"/>
      <c r="J18" s="20"/>
      <c r="K18" s="20"/>
      <c r="L18" s="108"/>
      <c r="M18" s="79"/>
      <c r="N18" s="79"/>
      <c r="O18" s="79"/>
    </row>
    <row r="19" spans="1:15" s="4" customFormat="1" ht="31.5" x14ac:dyDescent="0.25">
      <c r="A19" s="9" t="s">
        <v>418</v>
      </c>
      <c r="B19" s="8" t="s">
        <v>54</v>
      </c>
      <c r="C19" s="6" t="s">
        <v>431</v>
      </c>
      <c r="D19" s="6">
        <v>34741.75</v>
      </c>
      <c r="E19" s="6">
        <v>0</v>
      </c>
      <c r="F19" s="6">
        <f t="shared" si="0"/>
        <v>34741.75</v>
      </c>
      <c r="G19" s="97">
        <f t="shared" si="1"/>
        <v>6948.35</v>
      </c>
      <c r="H19" s="97">
        <f t="shared" si="2"/>
        <v>41690.1</v>
      </c>
      <c r="I19" s="118"/>
      <c r="J19" s="20"/>
      <c r="K19" s="20"/>
      <c r="L19" s="108"/>
      <c r="M19" s="79"/>
      <c r="N19" s="79"/>
      <c r="O19" s="79"/>
    </row>
    <row r="20" spans="1:15" s="4" customFormat="1" ht="31.5" x14ac:dyDescent="0.25">
      <c r="A20" s="9" t="s">
        <v>419</v>
      </c>
      <c r="B20" s="8" t="s">
        <v>55</v>
      </c>
      <c r="C20" s="6" t="s">
        <v>431</v>
      </c>
      <c r="D20" s="6">
        <v>15894.94</v>
      </c>
      <c r="E20" s="6">
        <v>0</v>
      </c>
      <c r="F20" s="6">
        <f t="shared" si="0"/>
        <v>15894.94</v>
      </c>
      <c r="G20" s="97">
        <f t="shared" si="1"/>
        <v>3178.99</v>
      </c>
      <c r="H20" s="97">
        <f t="shared" si="2"/>
        <v>19073.93</v>
      </c>
      <c r="I20" s="118"/>
      <c r="J20" s="20"/>
      <c r="K20" s="20"/>
      <c r="L20" s="108"/>
      <c r="M20" s="79"/>
      <c r="N20" s="79"/>
      <c r="O20" s="79"/>
    </row>
    <row r="21" spans="1:15" s="4" customFormat="1" ht="63" x14ac:dyDescent="0.25">
      <c r="A21" s="9" t="s">
        <v>420</v>
      </c>
      <c r="B21" s="8" t="s">
        <v>290</v>
      </c>
      <c r="C21" s="6" t="s">
        <v>493</v>
      </c>
      <c r="D21" s="6">
        <v>12160.32</v>
      </c>
      <c r="E21" s="6">
        <v>5671.78</v>
      </c>
      <c r="F21" s="6">
        <f t="shared" si="0"/>
        <v>17832.099999999999</v>
      </c>
      <c r="G21" s="97">
        <f t="shared" si="1"/>
        <v>3566.42</v>
      </c>
      <c r="H21" s="97">
        <f t="shared" si="2"/>
        <v>21398.519999999997</v>
      </c>
      <c r="I21" s="118"/>
      <c r="J21" s="20"/>
      <c r="K21" s="20"/>
      <c r="L21" s="108"/>
      <c r="M21" s="79"/>
      <c r="N21" s="79"/>
      <c r="O21" s="79"/>
    </row>
    <row r="22" spans="1:15" s="4" customFormat="1" ht="94.5" x14ac:dyDescent="0.25">
      <c r="A22" s="9" t="s">
        <v>421</v>
      </c>
      <c r="B22" s="8" t="s">
        <v>48</v>
      </c>
      <c r="C22" s="6" t="s">
        <v>493</v>
      </c>
      <c r="D22" s="6">
        <v>0</v>
      </c>
      <c r="E22" s="6">
        <v>21061.18</v>
      </c>
      <c r="F22" s="6">
        <f t="shared" si="0"/>
        <v>21061.18</v>
      </c>
      <c r="G22" s="97">
        <f t="shared" si="1"/>
        <v>4212.24</v>
      </c>
      <c r="H22" s="97">
        <f t="shared" si="2"/>
        <v>25273.42</v>
      </c>
      <c r="I22" s="118"/>
      <c r="J22" s="20"/>
      <c r="K22" s="20"/>
      <c r="L22" s="108"/>
      <c r="M22" s="79"/>
      <c r="N22" s="79"/>
      <c r="O22" s="79"/>
    </row>
    <row r="23" spans="1:15" s="4" customFormat="1" ht="47.25" x14ac:dyDescent="0.25">
      <c r="A23" s="9" t="s">
        <v>422</v>
      </c>
      <c r="B23" s="8" t="s">
        <v>291</v>
      </c>
      <c r="C23" s="6" t="s">
        <v>494</v>
      </c>
      <c r="D23" s="6">
        <v>51097.98</v>
      </c>
      <c r="E23" s="6">
        <v>9673.2000000000007</v>
      </c>
      <c r="F23" s="6">
        <f t="shared" si="0"/>
        <v>60771.180000000008</v>
      </c>
      <c r="G23" s="97">
        <f t="shared" si="1"/>
        <v>12154.24</v>
      </c>
      <c r="H23" s="97">
        <f t="shared" si="2"/>
        <v>72925.420000000013</v>
      </c>
      <c r="I23" s="118"/>
      <c r="J23" s="20"/>
      <c r="K23" s="20"/>
      <c r="L23" s="108"/>
      <c r="M23" s="79"/>
      <c r="N23" s="79"/>
      <c r="O23" s="79"/>
    </row>
    <row r="24" spans="1:15" s="4" customFormat="1" ht="21.75" customHeight="1" x14ac:dyDescent="0.25">
      <c r="A24" s="9" t="s">
        <v>423</v>
      </c>
      <c r="B24" s="11" t="s">
        <v>1025</v>
      </c>
      <c r="C24" s="10"/>
      <c r="D24" s="28"/>
      <c r="E24" s="28"/>
      <c r="F24" s="28"/>
      <c r="G24" s="28"/>
      <c r="H24" s="28"/>
      <c r="I24" s="116"/>
      <c r="J24" s="20"/>
      <c r="K24" s="20"/>
      <c r="L24" s="108"/>
      <c r="M24" s="79"/>
      <c r="N24" s="79"/>
      <c r="O24" s="79"/>
    </row>
    <row r="25" spans="1:15" s="4" customFormat="1" ht="126" x14ac:dyDescent="0.25">
      <c r="A25" s="9" t="s">
        <v>424</v>
      </c>
      <c r="B25" s="8" t="s">
        <v>292</v>
      </c>
      <c r="C25" s="6" t="s">
        <v>430</v>
      </c>
      <c r="D25" s="6">
        <v>52572.27</v>
      </c>
      <c r="E25" s="6">
        <v>0</v>
      </c>
      <c r="F25" s="6">
        <f t="shared" ref="F25:F30" si="3">D25+E25</f>
        <v>52572.27</v>
      </c>
      <c r="G25" s="97">
        <f t="shared" ref="G25:G30" si="4">ROUND(F25*0.2,2)</f>
        <v>10514.45</v>
      </c>
      <c r="H25" s="97">
        <f t="shared" ref="H25:H30" si="5">F25+G25</f>
        <v>63086.720000000001</v>
      </c>
      <c r="I25" s="118"/>
      <c r="J25" s="20"/>
      <c r="K25" s="20"/>
      <c r="L25" s="108"/>
      <c r="M25" s="79"/>
      <c r="N25" s="79"/>
      <c r="O25" s="79"/>
    </row>
    <row r="26" spans="1:15" s="4" customFormat="1" ht="31.5" x14ac:dyDescent="0.25">
      <c r="A26" s="9" t="s">
        <v>425</v>
      </c>
      <c r="B26" s="8" t="s">
        <v>54</v>
      </c>
      <c r="C26" s="6" t="s">
        <v>431</v>
      </c>
      <c r="D26" s="6">
        <v>28584.880000000005</v>
      </c>
      <c r="E26" s="6">
        <v>0</v>
      </c>
      <c r="F26" s="6">
        <f t="shared" si="3"/>
        <v>28584.880000000005</v>
      </c>
      <c r="G26" s="97">
        <f t="shared" si="4"/>
        <v>5716.98</v>
      </c>
      <c r="H26" s="97">
        <f t="shared" si="5"/>
        <v>34301.86</v>
      </c>
      <c r="I26" s="118"/>
      <c r="J26" s="20"/>
      <c r="K26" s="20"/>
      <c r="L26" s="108"/>
      <c r="M26" s="79"/>
      <c r="N26" s="79"/>
      <c r="O26" s="79"/>
    </row>
    <row r="27" spans="1:15" s="4" customFormat="1" ht="31.5" x14ac:dyDescent="0.25">
      <c r="A27" s="9" t="s">
        <v>426</v>
      </c>
      <c r="B27" s="8" t="s">
        <v>55</v>
      </c>
      <c r="C27" s="6" t="s">
        <v>431</v>
      </c>
      <c r="D27" s="6">
        <v>15894.94</v>
      </c>
      <c r="E27" s="6">
        <v>0</v>
      </c>
      <c r="F27" s="6">
        <f t="shared" si="3"/>
        <v>15894.94</v>
      </c>
      <c r="G27" s="97">
        <f t="shared" si="4"/>
        <v>3178.99</v>
      </c>
      <c r="H27" s="97">
        <f t="shared" si="5"/>
        <v>19073.93</v>
      </c>
      <c r="I27" s="118"/>
      <c r="J27" s="20"/>
      <c r="K27" s="20"/>
      <c r="L27" s="108"/>
      <c r="M27" s="79"/>
      <c r="N27" s="79"/>
      <c r="O27" s="79"/>
    </row>
    <row r="28" spans="1:15" s="4" customFormat="1" ht="63" x14ac:dyDescent="0.25">
      <c r="A28" s="9" t="s">
        <v>427</v>
      </c>
      <c r="B28" s="8" t="s">
        <v>56</v>
      </c>
      <c r="C28" s="6" t="s">
        <v>493</v>
      </c>
      <c r="D28" s="6">
        <v>12678.41</v>
      </c>
      <c r="E28" s="6">
        <v>8274.4699999999993</v>
      </c>
      <c r="F28" s="6">
        <f t="shared" si="3"/>
        <v>20952.879999999997</v>
      </c>
      <c r="G28" s="97">
        <f t="shared" si="4"/>
        <v>4190.58</v>
      </c>
      <c r="H28" s="97">
        <f t="shared" si="5"/>
        <v>25143.46</v>
      </c>
      <c r="I28" s="118"/>
      <c r="J28" s="20"/>
      <c r="K28" s="20"/>
      <c r="L28" s="108"/>
      <c r="M28" s="79"/>
      <c r="N28" s="79"/>
      <c r="O28" s="79"/>
    </row>
    <row r="29" spans="1:15" s="4" customFormat="1" ht="94.5" x14ac:dyDescent="0.25">
      <c r="A29" s="9" t="s">
        <v>428</v>
      </c>
      <c r="B29" s="8" t="s">
        <v>48</v>
      </c>
      <c r="C29" s="6" t="s">
        <v>493</v>
      </c>
      <c r="D29" s="6">
        <v>0</v>
      </c>
      <c r="E29" s="6">
        <v>22731.7</v>
      </c>
      <c r="F29" s="6">
        <f t="shared" si="3"/>
        <v>22731.7</v>
      </c>
      <c r="G29" s="97">
        <f t="shared" si="4"/>
        <v>4546.34</v>
      </c>
      <c r="H29" s="97">
        <f t="shared" si="5"/>
        <v>27278.04</v>
      </c>
      <c r="I29" s="118"/>
      <c r="J29" s="20"/>
      <c r="K29" s="20"/>
      <c r="L29" s="108"/>
      <c r="M29" s="79"/>
      <c r="N29" s="79"/>
      <c r="O29" s="79"/>
    </row>
    <row r="30" spans="1:15" s="4" customFormat="1" ht="47.25" x14ac:dyDescent="0.25">
      <c r="A30" s="9" t="s">
        <v>429</v>
      </c>
      <c r="B30" s="8" t="s">
        <v>291</v>
      </c>
      <c r="C30" s="6" t="s">
        <v>494</v>
      </c>
      <c r="D30" s="6">
        <v>69838.959999999992</v>
      </c>
      <c r="E30" s="6">
        <v>0</v>
      </c>
      <c r="F30" s="6">
        <f t="shared" si="3"/>
        <v>69838.959999999992</v>
      </c>
      <c r="G30" s="5">
        <f t="shared" si="4"/>
        <v>13967.79</v>
      </c>
      <c r="H30" s="5">
        <f t="shared" si="5"/>
        <v>83806.75</v>
      </c>
      <c r="I30" s="118"/>
      <c r="J30" s="20"/>
      <c r="K30" s="20"/>
      <c r="L30" s="108"/>
      <c r="M30" s="79"/>
      <c r="N30" s="79"/>
      <c r="O30" s="79"/>
    </row>
    <row r="31" spans="1:15" s="4" customFormat="1" ht="18.75" x14ac:dyDescent="0.25">
      <c r="A31" s="9" t="s">
        <v>738</v>
      </c>
      <c r="B31" s="11" t="s">
        <v>1026</v>
      </c>
      <c r="C31" s="28"/>
      <c r="D31" s="28"/>
      <c r="E31" s="28"/>
      <c r="F31" s="28"/>
      <c r="G31" s="28"/>
      <c r="H31" s="28"/>
      <c r="I31" s="116"/>
      <c r="J31" s="20"/>
      <c r="K31" s="20"/>
      <c r="L31" s="108"/>
      <c r="M31" s="79"/>
      <c r="N31" s="79"/>
      <c r="O31" s="79"/>
    </row>
    <row r="32" spans="1:15" s="4" customFormat="1" ht="110.25" x14ac:dyDescent="0.25">
      <c r="A32" s="9" t="s">
        <v>742</v>
      </c>
      <c r="B32" s="8" t="s">
        <v>740</v>
      </c>
      <c r="C32" s="6" t="s">
        <v>749</v>
      </c>
      <c r="D32" s="6">
        <v>43697.770000000004</v>
      </c>
      <c r="E32" s="6">
        <v>0</v>
      </c>
      <c r="F32" s="6">
        <f t="shared" ref="F32:F37" si="6">D32+E32</f>
        <v>43697.770000000004</v>
      </c>
      <c r="G32" s="97">
        <f t="shared" ref="G32:G37" si="7">ROUND(F32*0.2,2)</f>
        <v>8739.5499999999993</v>
      </c>
      <c r="H32" s="97">
        <f t="shared" ref="H32:H37" si="8">F32+G32</f>
        <v>52437.320000000007</v>
      </c>
      <c r="I32" s="118"/>
      <c r="J32" s="20"/>
      <c r="K32" s="20"/>
      <c r="L32" s="108"/>
      <c r="M32" s="79"/>
      <c r="N32" s="79"/>
      <c r="O32" s="79"/>
    </row>
    <row r="33" spans="1:15" s="4" customFormat="1" ht="31.5" x14ac:dyDescent="0.25">
      <c r="A33" s="9" t="s">
        <v>743</v>
      </c>
      <c r="B33" s="8" t="s">
        <v>54</v>
      </c>
      <c r="C33" s="6" t="s">
        <v>431</v>
      </c>
      <c r="D33" s="6">
        <v>63064.740000000005</v>
      </c>
      <c r="E33" s="6">
        <v>0</v>
      </c>
      <c r="F33" s="6">
        <f t="shared" si="6"/>
        <v>63064.740000000005</v>
      </c>
      <c r="G33" s="97">
        <f t="shared" si="7"/>
        <v>12612.95</v>
      </c>
      <c r="H33" s="97">
        <f t="shared" si="8"/>
        <v>75677.69</v>
      </c>
      <c r="I33" s="118"/>
      <c r="J33" s="20"/>
      <c r="K33" s="20"/>
      <c r="L33" s="108"/>
      <c r="M33" s="79"/>
      <c r="N33" s="79"/>
      <c r="O33" s="79"/>
    </row>
    <row r="34" spans="1:15" s="4" customFormat="1" ht="31.5" x14ac:dyDescent="0.25">
      <c r="A34" s="9" t="s">
        <v>744</v>
      </c>
      <c r="B34" s="8" t="s">
        <v>55</v>
      </c>
      <c r="C34" s="6" t="s">
        <v>431</v>
      </c>
      <c r="D34" s="6">
        <v>23007.33</v>
      </c>
      <c r="E34" s="6">
        <v>0</v>
      </c>
      <c r="F34" s="6">
        <f t="shared" si="6"/>
        <v>23007.33</v>
      </c>
      <c r="G34" s="97">
        <f t="shared" si="7"/>
        <v>4601.47</v>
      </c>
      <c r="H34" s="97">
        <f t="shared" si="8"/>
        <v>27608.800000000003</v>
      </c>
      <c r="I34" s="118"/>
      <c r="J34" s="20"/>
      <c r="K34" s="20"/>
      <c r="L34" s="108"/>
      <c r="M34" s="79"/>
      <c r="N34" s="79"/>
      <c r="O34" s="79"/>
    </row>
    <row r="35" spans="1:15" s="4" customFormat="1" ht="63" x14ac:dyDescent="0.25">
      <c r="A35" s="9" t="s">
        <v>745</v>
      </c>
      <c r="B35" s="8" t="s">
        <v>290</v>
      </c>
      <c r="C35" s="6" t="s">
        <v>494</v>
      </c>
      <c r="D35" s="6">
        <v>25471.22</v>
      </c>
      <c r="E35" s="6">
        <v>11504.47</v>
      </c>
      <c r="F35" s="6">
        <f t="shared" si="6"/>
        <v>36975.69</v>
      </c>
      <c r="G35" s="97">
        <f t="shared" si="7"/>
        <v>7395.14</v>
      </c>
      <c r="H35" s="97">
        <f t="shared" si="8"/>
        <v>44370.83</v>
      </c>
      <c r="I35" s="118"/>
      <c r="J35" s="20"/>
      <c r="K35" s="20"/>
      <c r="L35" s="108"/>
      <c r="M35" s="79"/>
      <c r="N35" s="79"/>
      <c r="O35" s="79"/>
    </row>
    <row r="36" spans="1:15" s="4" customFormat="1" ht="94.5" x14ac:dyDescent="0.25">
      <c r="A36" s="9" t="s">
        <v>746</v>
      </c>
      <c r="B36" s="8" t="s">
        <v>48</v>
      </c>
      <c r="C36" s="6" t="s">
        <v>494</v>
      </c>
      <c r="D36" s="6">
        <v>0</v>
      </c>
      <c r="E36" s="6">
        <v>23799.78</v>
      </c>
      <c r="F36" s="6">
        <f t="shared" si="6"/>
        <v>23799.78</v>
      </c>
      <c r="G36" s="97">
        <f t="shared" si="7"/>
        <v>4759.96</v>
      </c>
      <c r="H36" s="97">
        <f t="shared" si="8"/>
        <v>28559.739999999998</v>
      </c>
      <c r="I36" s="118"/>
      <c r="J36" s="20"/>
      <c r="K36" s="20"/>
      <c r="L36" s="108"/>
      <c r="M36" s="79"/>
      <c r="N36" s="79"/>
      <c r="O36" s="79"/>
    </row>
    <row r="37" spans="1:15" s="4" customFormat="1" x14ac:dyDescent="0.25">
      <c r="A37" s="9" t="s">
        <v>747</v>
      </c>
      <c r="B37" s="20" t="s">
        <v>741</v>
      </c>
      <c r="C37" s="6" t="s">
        <v>750</v>
      </c>
      <c r="D37" s="6">
        <v>63807.96</v>
      </c>
      <c r="E37" s="6">
        <v>16830.48</v>
      </c>
      <c r="F37" s="6">
        <f t="shared" si="6"/>
        <v>80638.44</v>
      </c>
      <c r="G37" s="97">
        <f t="shared" si="7"/>
        <v>16127.69</v>
      </c>
      <c r="H37" s="97">
        <f t="shared" si="8"/>
        <v>96766.13</v>
      </c>
      <c r="I37" s="118"/>
      <c r="J37" s="20"/>
      <c r="K37" s="20"/>
      <c r="L37" s="108"/>
      <c r="M37" s="79"/>
      <c r="N37" s="79"/>
      <c r="O37" s="79"/>
    </row>
    <row r="38" spans="1:15" s="4" customFormat="1" ht="22.5" customHeight="1" x14ac:dyDescent="0.25">
      <c r="A38" s="9" t="s">
        <v>739</v>
      </c>
      <c r="B38" s="11" t="s">
        <v>1027</v>
      </c>
      <c r="C38" s="10"/>
      <c r="D38" s="28"/>
      <c r="E38" s="28"/>
      <c r="F38" s="28"/>
      <c r="G38" s="28"/>
      <c r="H38" s="28"/>
      <c r="I38" s="116"/>
      <c r="J38" s="20"/>
      <c r="K38" s="20"/>
      <c r="L38" s="108"/>
      <c r="M38" s="79"/>
      <c r="N38" s="79"/>
      <c r="O38" s="79"/>
    </row>
    <row r="39" spans="1:15" s="4" customFormat="1" ht="126" x14ac:dyDescent="0.25">
      <c r="A39" s="9" t="s">
        <v>751</v>
      </c>
      <c r="B39" s="8" t="s">
        <v>748</v>
      </c>
      <c r="C39" s="6" t="s">
        <v>749</v>
      </c>
      <c r="D39" s="6">
        <v>71822.850000000006</v>
      </c>
      <c r="E39" s="6">
        <v>0</v>
      </c>
      <c r="F39" s="6">
        <f t="shared" ref="F39:F44" si="9">D39+E39</f>
        <v>71822.850000000006</v>
      </c>
      <c r="G39" s="97">
        <f t="shared" ref="G39:G44" si="10">ROUND(F39*0.2,2)</f>
        <v>14364.57</v>
      </c>
      <c r="H39" s="97">
        <f t="shared" ref="H39:H44" si="11">F39+G39</f>
        <v>86187.420000000013</v>
      </c>
      <c r="I39" s="118"/>
      <c r="J39" s="20"/>
      <c r="K39" s="20"/>
      <c r="L39" s="108"/>
      <c r="M39" s="79"/>
      <c r="N39" s="79"/>
      <c r="O39" s="79"/>
    </row>
    <row r="40" spans="1:15" s="4" customFormat="1" ht="31.5" x14ac:dyDescent="0.25">
      <c r="A40" s="9" t="s">
        <v>752</v>
      </c>
      <c r="B40" s="8" t="s">
        <v>54</v>
      </c>
      <c r="C40" s="6" t="s">
        <v>431</v>
      </c>
      <c r="D40" s="6">
        <v>63060.740000000005</v>
      </c>
      <c r="E40" s="6">
        <v>0</v>
      </c>
      <c r="F40" s="6">
        <f t="shared" si="9"/>
        <v>63060.740000000005</v>
      </c>
      <c r="G40" s="97">
        <f t="shared" si="10"/>
        <v>12612.15</v>
      </c>
      <c r="H40" s="97">
        <f t="shared" si="11"/>
        <v>75672.89</v>
      </c>
      <c r="I40" s="118"/>
      <c r="J40" s="20"/>
      <c r="K40" s="20"/>
      <c r="L40" s="108"/>
      <c r="M40" s="79"/>
      <c r="N40" s="79"/>
      <c r="O40" s="79"/>
    </row>
    <row r="41" spans="1:15" s="4" customFormat="1" ht="31.5" x14ac:dyDescent="0.25">
      <c r="A41" s="9" t="s">
        <v>753</v>
      </c>
      <c r="B41" s="8" t="s">
        <v>55</v>
      </c>
      <c r="C41" s="6" t="s">
        <v>431</v>
      </c>
      <c r="D41" s="6">
        <v>22693.84</v>
      </c>
      <c r="E41" s="6">
        <v>0</v>
      </c>
      <c r="F41" s="6">
        <f t="shared" si="9"/>
        <v>22693.84</v>
      </c>
      <c r="G41" s="97">
        <f t="shared" si="10"/>
        <v>4538.7700000000004</v>
      </c>
      <c r="H41" s="97">
        <f t="shared" si="11"/>
        <v>27232.61</v>
      </c>
      <c r="I41" s="118"/>
      <c r="J41" s="20"/>
      <c r="K41" s="20"/>
      <c r="L41" s="108"/>
      <c r="M41" s="79"/>
      <c r="N41" s="79"/>
      <c r="O41" s="79"/>
    </row>
    <row r="42" spans="1:15" s="4" customFormat="1" ht="63" x14ac:dyDescent="0.25">
      <c r="A42" s="9" t="s">
        <v>754</v>
      </c>
      <c r="B42" s="8" t="s">
        <v>290</v>
      </c>
      <c r="C42" s="6" t="s">
        <v>494</v>
      </c>
      <c r="D42" s="6">
        <v>14772.099999999999</v>
      </c>
      <c r="E42" s="6">
        <v>11480.47</v>
      </c>
      <c r="F42" s="6">
        <f t="shared" si="9"/>
        <v>26252.57</v>
      </c>
      <c r="G42" s="97">
        <f t="shared" si="10"/>
        <v>5250.51</v>
      </c>
      <c r="H42" s="97">
        <f t="shared" si="11"/>
        <v>31503.08</v>
      </c>
      <c r="I42" s="118"/>
      <c r="J42" s="20"/>
      <c r="K42" s="20"/>
      <c r="L42" s="108"/>
      <c r="M42" s="79"/>
      <c r="N42" s="79"/>
      <c r="O42" s="79"/>
    </row>
    <row r="43" spans="1:15" s="4" customFormat="1" ht="94.5" x14ac:dyDescent="0.25">
      <c r="A43" s="9" t="s">
        <v>755</v>
      </c>
      <c r="B43" s="8" t="s">
        <v>48</v>
      </c>
      <c r="C43" s="6" t="s">
        <v>494</v>
      </c>
      <c r="D43" s="6">
        <v>0</v>
      </c>
      <c r="E43" s="6">
        <v>23799.78</v>
      </c>
      <c r="F43" s="6">
        <f t="shared" si="9"/>
        <v>23799.78</v>
      </c>
      <c r="G43" s="97">
        <f t="shared" si="10"/>
        <v>4759.96</v>
      </c>
      <c r="H43" s="97">
        <f t="shared" si="11"/>
        <v>28559.739999999998</v>
      </c>
      <c r="I43" s="118"/>
      <c r="J43" s="20"/>
      <c r="K43" s="20"/>
      <c r="L43" s="108"/>
      <c r="M43" s="79"/>
      <c r="N43" s="79"/>
      <c r="O43" s="79"/>
    </row>
    <row r="44" spans="1:15" s="4" customFormat="1" ht="31.5" x14ac:dyDescent="0.25">
      <c r="A44" s="9" t="s">
        <v>756</v>
      </c>
      <c r="B44" s="8" t="s">
        <v>741</v>
      </c>
      <c r="C44" s="6" t="s">
        <v>494</v>
      </c>
      <c r="D44" s="6">
        <v>63807.96</v>
      </c>
      <c r="E44" s="6">
        <v>16830.48</v>
      </c>
      <c r="F44" s="6">
        <f t="shared" si="9"/>
        <v>80638.44</v>
      </c>
      <c r="G44" s="97">
        <f t="shared" si="10"/>
        <v>16127.69</v>
      </c>
      <c r="H44" s="97">
        <f t="shared" si="11"/>
        <v>96766.13</v>
      </c>
      <c r="I44" s="118"/>
      <c r="J44" s="20"/>
      <c r="K44" s="20"/>
      <c r="L44" s="108"/>
      <c r="M44" s="79"/>
      <c r="N44" s="79"/>
      <c r="O44" s="79"/>
    </row>
    <row r="45" spans="1:15" s="4" customFormat="1" ht="19.5" customHeight="1" x14ac:dyDescent="0.25">
      <c r="A45" s="9" t="s">
        <v>800</v>
      </c>
      <c r="B45" s="11" t="s">
        <v>1028</v>
      </c>
      <c r="C45" s="28"/>
      <c r="D45" s="28"/>
      <c r="E45" s="28"/>
      <c r="F45" s="28"/>
      <c r="G45" s="28"/>
      <c r="H45" s="28"/>
      <c r="I45" s="119"/>
      <c r="J45" s="20"/>
      <c r="K45" s="20"/>
      <c r="L45" s="108"/>
      <c r="M45" s="79"/>
      <c r="N45" s="79"/>
      <c r="O45" s="79"/>
    </row>
    <row r="46" spans="1:15" s="4" customFormat="1" ht="110.25" x14ac:dyDescent="0.25">
      <c r="A46" s="9" t="s">
        <v>801</v>
      </c>
      <c r="B46" s="8" t="s">
        <v>807</v>
      </c>
      <c r="C46" s="6" t="s">
        <v>430</v>
      </c>
      <c r="D46" s="6">
        <v>32732.949999999997</v>
      </c>
      <c r="E46" s="6">
        <v>0</v>
      </c>
      <c r="F46" s="6">
        <f t="shared" ref="F46:F51" si="12">D46+E46</f>
        <v>32732.949999999997</v>
      </c>
      <c r="G46" s="97">
        <f t="shared" ref="G46:G51" si="13">ROUND(F46*0.2,2)</f>
        <v>6546.59</v>
      </c>
      <c r="H46" s="97">
        <f t="shared" ref="H46:H51" si="14">F46+G46</f>
        <v>39279.539999999994</v>
      </c>
      <c r="I46" s="118"/>
      <c r="J46" s="20"/>
      <c r="K46" s="20"/>
      <c r="L46" s="108"/>
      <c r="M46" s="79"/>
      <c r="N46" s="79"/>
      <c r="O46" s="79"/>
    </row>
    <row r="47" spans="1:15" s="4" customFormat="1" ht="31.5" x14ac:dyDescent="0.25">
      <c r="A47" s="9" t="s">
        <v>802</v>
      </c>
      <c r="B47" s="8" t="s">
        <v>54</v>
      </c>
      <c r="C47" s="6" t="s">
        <v>431</v>
      </c>
      <c r="D47" s="6">
        <v>20815.600000000002</v>
      </c>
      <c r="E47" s="6">
        <v>0</v>
      </c>
      <c r="F47" s="6">
        <f t="shared" si="12"/>
        <v>20815.600000000002</v>
      </c>
      <c r="G47" s="97">
        <f t="shared" si="13"/>
        <v>4163.12</v>
      </c>
      <c r="H47" s="97">
        <f t="shared" si="14"/>
        <v>24978.720000000001</v>
      </c>
      <c r="I47" s="118"/>
      <c r="J47" s="20"/>
      <c r="K47" s="20"/>
      <c r="L47" s="108"/>
      <c r="M47" s="79"/>
      <c r="N47" s="79"/>
      <c r="O47" s="79"/>
    </row>
    <row r="48" spans="1:15" s="4" customFormat="1" ht="31.5" x14ac:dyDescent="0.25">
      <c r="A48" s="9" t="s">
        <v>803</v>
      </c>
      <c r="B48" s="8" t="s">
        <v>55</v>
      </c>
      <c r="C48" s="6" t="s">
        <v>431</v>
      </c>
      <c r="D48" s="6">
        <v>10046.030000000001</v>
      </c>
      <c r="E48" s="6">
        <v>0</v>
      </c>
      <c r="F48" s="6">
        <f t="shared" si="12"/>
        <v>10046.030000000001</v>
      </c>
      <c r="G48" s="97">
        <f t="shared" si="13"/>
        <v>2009.21</v>
      </c>
      <c r="H48" s="97">
        <f t="shared" si="14"/>
        <v>12055.240000000002</v>
      </c>
      <c r="I48" s="118"/>
      <c r="J48" s="20"/>
      <c r="K48" s="20"/>
      <c r="L48" s="108"/>
      <c r="M48" s="79"/>
      <c r="N48" s="79"/>
      <c r="O48" s="79"/>
    </row>
    <row r="49" spans="1:15" s="4" customFormat="1" ht="63" x14ac:dyDescent="0.25">
      <c r="A49" s="9" t="s">
        <v>804</v>
      </c>
      <c r="B49" s="8" t="s">
        <v>290</v>
      </c>
      <c r="C49" s="6" t="s">
        <v>494</v>
      </c>
      <c r="D49" s="6">
        <v>11732.449999999997</v>
      </c>
      <c r="E49" s="6">
        <v>7388.6200000000008</v>
      </c>
      <c r="F49" s="6">
        <f t="shared" si="12"/>
        <v>19121.07</v>
      </c>
      <c r="G49" s="97">
        <f t="shared" si="13"/>
        <v>3824.21</v>
      </c>
      <c r="H49" s="97">
        <f t="shared" si="14"/>
        <v>22945.279999999999</v>
      </c>
      <c r="I49" s="118"/>
      <c r="J49" s="20"/>
      <c r="K49" s="20"/>
      <c r="L49" s="108"/>
      <c r="M49" s="79"/>
      <c r="N49" s="79"/>
      <c r="O49" s="79"/>
    </row>
    <row r="50" spans="1:15" s="4" customFormat="1" ht="94.5" x14ac:dyDescent="0.25">
      <c r="A50" s="9" t="s">
        <v>805</v>
      </c>
      <c r="B50" s="8" t="s">
        <v>48</v>
      </c>
      <c r="C50" s="6" t="s">
        <v>494</v>
      </c>
      <c r="D50" s="6">
        <v>0</v>
      </c>
      <c r="E50" s="6">
        <v>21929.800000000003</v>
      </c>
      <c r="F50" s="6">
        <f t="shared" si="12"/>
        <v>21929.800000000003</v>
      </c>
      <c r="G50" s="97">
        <f t="shared" si="13"/>
        <v>4385.96</v>
      </c>
      <c r="H50" s="97">
        <f t="shared" si="14"/>
        <v>26315.760000000002</v>
      </c>
      <c r="I50" s="118"/>
      <c r="J50" s="20"/>
      <c r="K50" s="20"/>
      <c r="L50" s="108"/>
      <c r="M50" s="79"/>
      <c r="N50" s="79"/>
      <c r="O50" s="79"/>
    </row>
    <row r="51" spans="1:15" s="4" customFormat="1" ht="31.5" x14ac:dyDescent="0.25">
      <c r="A51" s="9" t="s">
        <v>806</v>
      </c>
      <c r="B51" s="8" t="s">
        <v>808</v>
      </c>
      <c r="C51" s="6" t="s">
        <v>750</v>
      </c>
      <c r="D51" s="6">
        <v>53113.24</v>
      </c>
      <c r="E51" s="6">
        <v>9673.2000000000007</v>
      </c>
      <c r="F51" s="6">
        <f t="shared" si="12"/>
        <v>62786.44</v>
      </c>
      <c r="G51" s="97">
        <f t="shared" si="13"/>
        <v>12557.29</v>
      </c>
      <c r="H51" s="97">
        <f t="shared" si="14"/>
        <v>75343.73000000001</v>
      </c>
      <c r="I51" s="118"/>
      <c r="J51" s="20"/>
      <c r="K51" s="20"/>
      <c r="L51" s="108"/>
      <c r="M51" s="79"/>
      <c r="N51" s="79"/>
      <c r="O51" s="79"/>
    </row>
    <row r="52" spans="1:15" s="17" customFormat="1" ht="24.75" customHeight="1" x14ac:dyDescent="0.25">
      <c r="A52" s="9" t="s">
        <v>402</v>
      </c>
      <c r="B52" s="166" t="s">
        <v>1042</v>
      </c>
      <c r="C52" s="167"/>
      <c r="D52" s="167"/>
      <c r="E52" s="167"/>
      <c r="F52" s="167"/>
      <c r="G52" s="167"/>
      <c r="H52" s="168"/>
      <c r="I52" s="120"/>
      <c r="J52" s="20"/>
      <c r="K52" s="20"/>
      <c r="L52" s="108"/>
      <c r="M52" s="79"/>
      <c r="N52" s="79"/>
      <c r="O52" s="79"/>
    </row>
    <row r="53" spans="1:15" s="17" customFormat="1" ht="21.75" customHeight="1" x14ac:dyDescent="0.25">
      <c r="A53" s="9" t="s">
        <v>403</v>
      </c>
      <c r="B53" s="11" t="s">
        <v>1029</v>
      </c>
      <c r="C53" s="95"/>
      <c r="D53" s="95"/>
      <c r="E53" s="95"/>
      <c r="F53" s="95"/>
      <c r="G53" s="95"/>
      <c r="H53" s="96"/>
      <c r="I53" s="120"/>
      <c r="J53" s="20"/>
      <c r="K53" s="20"/>
      <c r="L53" s="108"/>
      <c r="M53" s="79"/>
      <c r="N53" s="79"/>
      <c r="O53" s="79"/>
    </row>
    <row r="54" spans="1:15" s="3" customFormat="1" ht="63" x14ac:dyDescent="0.25">
      <c r="A54" s="94" t="s">
        <v>412</v>
      </c>
      <c r="B54" s="85" t="s">
        <v>1034</v>
      </c>
      <c r="C54" s="7" t="s">
        <v>53</v>
      </c>
      <c r="D54" s="84">
        <f>D55+D56</f>
        <v>15326</v>
      </c>
      <c r="E54" s="84">
        <f>E55+E56</f>
        <v>1988.7800000000002</v>
      </c>
      <c r="F54" s="84">
        <f>F55+F56</f>
        <v>17314.78</v>
      </c>
      <c r="G54" s="60">
        <f>G55+G56</f>
        <v>3462.95</v>
      </c>
      <c r="H54" s="60">
        <f>F54+G54</f>
        <v>20777.73</v>
      </c>
      <c r="I54" s="121"/>
      <c r="J54" s="20"/>
      <c r="K54" s="20"/>
      <c r="L54" s="108"/>
      <c r="M54" s="79"/>
      <c r="N54" s="79"/>
      <c r="O54" s="79"/>
    </row>
    <row r="55" spans="1:15" s="3" customFormat="1" ht="189" x14ac:dyDescent="0.25">
      <c r="A55" s="94" t="s">
        <v>1035</v>
      </c>
      <c r="B55" s="85" t="s">
        <v>1009</v>
      </c>
      <c r="C55" s="7" t="s">
        <v>53</v>
      </c>
      <c r="D55" s="7">
        <v>9046.64</v>
      </c>
      <c r="E55" s="7">
        <v>1130.8200000000002</v>
      </c>
      <c r="F55" s="84">
        <f t="shared" ref="F55:F56" si="15">D55+E55</f>
        <v>10177.459999999999</v>
      </c>
      <c r="G55" s="83">
        <f t="shared" ref="G55:G56" si="16">ROUND(F55*0.2,2)</f>
        <v>2035.49</v>
      </c>
      <c r="H55" s="83">
        <f t="shared" ref="H55:H56" si="17">F55+G55</f>
        <v>12212.949999999999</v>
      </c>
      <c r="I55" s="121"/>
      <c r="J55" s="20"/>
      <c r="K55" s="20"/>
      <c r="L55" s="108"/>
      <c r="M55" s="79"/>
      <c r="N55" s="79"/>
      <c r="O55" s="79"/>
    </row>
    <row r="56" spans="1:15" s="3" customFormat="1" ht="63" x14ac:dyDescent="0.25">
      <c r="A56" s="94" t="s">
        <v>1036</v>
      </c>
      <c r="B56" s="85" t="s">
        <v>1010</v>
      </c>
      <c r="C56" s="7" t="s">
        <v>53</v>
      </c>
      <c r="D56" s="7">
        <v>6279.3600000000006</v>
      </c>
      <c r="E56" s="7">
        <v>857.96</v>
      </c>
      <c r="F56" s="84">
        <f t="shared" si="15"/>
        <v>7137.3200000000006</v>
      </c>
      <c r="G56" s="83">
        <f t="shared" si="16"/>
        <v>1427.46</v>
      </c>
      <c r="H56" s="83">
        <f t="shared" si="17"/>
        <v>8564.7800000000007</v>
      </c>
      <c r="I56" s="121"/>
      <c r="J56" s="20"/>
      <c r="K56" s="20"/>
      <c r="L56" s="108"/>
      <c r="M56" s="79"/>
      <c r="N56" s="79"/>
      <c r="O56" s="79"/>
    </row>
    <row r="57" spans="1:15" s="4" customFormat="1" ht="22.5" customHeight="1" x14ac:dyDescent="0.25">
      <c r="A57" s="9" t="s">
        <v>404</v>
      </c>
      <c r="B57" s="169" t="s">
        <v>1030</v>
      </c>
      <c r="C57" s="170"/>
      <c r="D57" s="170"/>
      <c r="E57" s="170"/>
      <c r="F57" s="170"/>
      <c r="G57" s="170"/>
      <c r="H57" s="171"/>
      <c r="I57" s="117"/>
      <c r="J57" s="20"/>
      <c r="K57" s="20"/>
      <c r="L57" s="108"/>
      <c r="M57" s="79"/>
      <c r="N57" s="79"/>
      <c r="O57" s="79"/>
    </row>
    <row r="58" spans="1:15" s="4" customFormat="1" ht="63" x14ac:dyDescent="0.25">
      <c r="A58" s="94" t="s">
        <v>413</v>
      </c>
      <c r="B58" s="85" t="s">
        <v>1034</v>
      </c>
      <c r="C58" s="7" t="s">
        <v>53</v>
      </c>
      <c r="D58" s="84">
        <f>D59+D60</f>
        <v>14889.279999999999</v>
      </c>
      <c r="E58" s="84">
        <f>E59+E60</f>
        <v>1966.98</v>
      </c>
      <c r="F58" s="84">
        <f>F59+F60</f>
        <v>16856.259999999998</v>
      </c>
      <c r="G58" s="60">
        <f>G59+G60</f>
        <v>3371.25</v>
      </c>
      <c r="H58" s="60">
        <f>F58+G58</f>
        <v>20227.509999999998</v>
      </c>
      <c r="I58" s="121"/>
      <c r="J58" s="20"/>
      <c r="K58" s="20"/>
      <c r="L58" s="108"/>
      <c r="M58" s="79"/>
      <c r="N58" s="79"/>
      <c r="O58" s="79"/>
    </row>
    <row r="59" spans="1:15" s="4" customFormat="1" ht="189" x14ac:dyDescent="0.25">
      <c r="A59" s="94" t="s">
        <v>1037</v>
      </c>
      <c r="B59" s="85" t="s">
        <v>1009</v>
      </c>
      <c r="C59" s="6" t="s">
        <v>53</v>
      </c>
      <c r="D59" s="6">
        <v>9920.7899999999991</v>
      </c>
      <c r="E59" s="6">
        <v>1240.0999999999999</v>
      </c>
      <c r="F59" s="84">
        <f t="shared" ref="F59:F60" si="18">D59+E59</f>
        <v>11160.89</v>
      </c>
      <c r="G59" s="97">
        <f t="shared" ref="G59:G60" si="19">ROUND(F59*0.2,2)</f>
        <v>2232.1799999999998</v>
      </c>
      <c r="H59" s="97">
        <f t="shared" ref="H59:H60" si="20">F59+G59</f>
        <v>13393.07</v>
      </c>
      <c r="I59" s="118"/>
      <c r="J59" s="20"/>
      <c r="K59" s="20"/>
      <c r="L59" s="108"/>
      <c r="M59" s="79"/>
      <c r="N59" s="79"/>
      <c r="O59" s="79"/>
    </row>
    <row r="60" spans="1:15" s="4" customFormat="1" ht="63" x14ac:dyDescent="0.25">
      <c r="A60" s="94" t="s">
        <v>1038</v>
      </c>
      <c r="B60" s="85" t="s">
        <v>1010</v>
      </c>
      <c r="C60" s="6" t="s">
        <v>53</v>
      </c>
      <c r="D60" s="6">
        <v>4968.49</v>
      </c>
      <c r="E60" s="6">
        <v>726.88</v>
      </c>
      <c r="F60" s="84">
        <f t="shared" si="18"/>
        <v>5695.37</v>
      </c>
      <c r="G60" s="97">
        <f t="shared" si="19"/>
        <v>1139.07</v>
      </c>
      <c r="H60" s="97">
        <f t="shared" si="20"/>
        <v>6834.44</v>
      </c>
      <c r="I60" s="118"/>
      <c r="J60" s="20"/>
      <c r="K60" s="20"/>
      <c r="L60" s="108"/>
      <c r="M60" s="79"/>
      <c r="N60" s="79"/>
      <c r="O60" s="79"/>
    </row>
    <row r="61" spans="1:15" s="4" customFormat="1" ht="23.25" customHeight="1" x14ac:dyDescent="0.25">
      <c r="A61" s="9" t="s">
        <v>405</v>
      </c>
      <c r="B61" s="169" t="s">
        <v>1031</v>
      </c>
      <c r="C61" s="170"/>
      <c r="D61" s="170"/>
      <c r="E61" s="170"/>
      <c r="F61" s="170"/>
      <c r="G61" s="170"/>
      <c r="H61" s="171"/>
      <c r="I61" s="117"/>
      <c r="J61" s="20"/>
      <c r="K61" s="20"/>
      <c r="L61" s="108"/>
      <c r="M61" s="79"/>
      <c r="N61" s="79"/>
      <c r="O61" s="79"/>
    </row>
    <row r="62" spans="1:15" s="4" customFormat="1" ht="63" x14ac:dyDescent="0.25">
      <c r="A62" s="94" t="s">
        <v>414</v>
      </c>
      <c r="B62" s="85" t="s">
        <v>1034</v>
      </c>
      <c r="C62" s="7" t="s">
        <v>53</v>
      </c>
      <c r="D62" s="84">
        <f>D63+D64</f>
        <v>22480.65</v>
      </c>
      <c r="E62" s="84">
        <f>E63+E64</f>
        <v>2689.94</v>
      </c>
      <c r="F62" s="84">
        <f>F63+F64</f>
        <v>25170.59</v>
      </c>
      <c r="G62" s="60">
        <f>G63+G64</f>
        <v>5034.1099999999997</v>
      </c>
      <c r="H62" s="60">
        <f>F62+G62</f>
        <v>30204.7</v>
      </c>
      <c r="I62" s="121"/>
      <c r="J62" s="20"/>
      <c r="K62" s="20"/>
      <c r="L62" s="108"/>
      <c r="M62" s="79"/>
      <c r="N62" s="79"/>
      <c r="O62" s="79"/>
    </row>
    <row r="63" spans="1:15" s="4" customFormat="1" ht="189" x14ac:dyDescent="0.25">
      <c r="A63" s="94" t="s">
        <v>1039</v>
      </c>
      <c r="B63" s="85" t="s">
        <v>1009</v>
      </c>
      <c r="C63" s="6" t="s">
        <v>53</v>
      </c>
      <c r="D63" s="6">
        <v>13741.210000000001</v>
      </c>
      <c r="E63" s="6">
        <v>1717.66</v>
      </c>
      <c r="F63" s="84">
        <f t="shared" ref="F63:F64" si="21">D63+E63</f>
        <v>15458.87</v>
      </c>
      <c r="G63" s="97">
        <f t="shared" ref="G63:G64" si="22">ROUND(F63*0.2,2)</f>
        <v>3091.77</v>
      </c>
      <c r="H63" s="97">
        <f t="shared" ref="H63:H64" si="23">F63+G63</f>
        <v>18550.64</v>
      </c>
      <c r="I63" s="118"/>
      <c r="J63" s="20"/>
      <c r="K63" s="20"/>
      <c r="L63" s="108"/>
      <c r="M63" s="79"/>
      <c r="N63" s="79"/>
      <c r="O63" s="79"/>
    </row>
    <row r="64" spans="1:15" s="4" customFormat="1" ht="63" x14ac:dyDescent="0.25">
      <c r="A64" s="94" t="s">
        <v>1040</v>
      </c>
      <c r="B64" s="85" t="s">
        <v>1010</v>
      </c>
      <c r="C64" s="6" t="s">
        <v>53</v>
      </c>
      <c r="D64" s="6">
        <v>8739.4399999999987</v>
      </c>
      <c r="E64" s="6">
        <v>972.28000000000009</v>
      </c>
      <c r="F64" s="84">
        <f t="shared" si="21"/>
        <v>9711.7199999999993</v>
      </c>
      <c r="G64" s="97">
        <f t="shared" si="22"/>
        <v>1942.34</v>
      </c>
      <c r="H64" s="97">
        <f t="shared" si="23"/>
        <v>11654.06</v>
      </c>
      <c r="I64" s="118"/>
      <c r="J64" s="20"/>
      <c r="K64" s="20"/>
      <c r="L64" s="108"/>
      <c r="M64" s="79"/>
      <c r="N64" s="79"/>
      <c r="O64" s="79"/>
    </row>
    <row r="65" spans="1:15" s="4" customFormat="1" ht="35.25" customHeight="1" x14ac:dyDescent="0.25">
      <c r="A65" s="9" t="s">
        <v>1043</v>
      </c>
      <c r="B65" s="166" t="s">
        <v>1054</v>
      </c>
      <c r="C65" s="167"/>
      <c r="D65" s="167"/>
      <c r="E65" s="167"/>
      <c r="F65" s="167"/>
      <c r="G65" s="167"/>
      <c r="H65" s="168"/>
      <c r="I65" s="120"/>
      <c r="J65" s="20"/>
      <c r="K65" s="20"/>
      <c r="L65" s="108"/>
      <c r="M65" s="79"/>
      <c r="N65" s="79"/>
      <c r="O65" s="79"/>
    </row>
    <row r="66" spans="1:15" s="4" customFormat="1" ht="110.25" x14ac:dyDescent="0.25">
      <c r="A66" s="9" t="s">
        <v>1047</v>
      </c>
      <c r="B66" s="85" t="s">
        <v>1045</v>
      </c>
      <c r="C66" s="77" t="s">
        <v>1046</v>
      </c>
      <c r="D66" s="6">
        <v>37456.89</v>
      </c>
      <c r="E66" s="6">
        <v>6625.77</v>
      </c>
      <c r="F66" s="84">
        <f t="shared" ref="F66:F68" si="24">D66+E66</f>
        <v>44082.66</v>
      </c>
      <c r="G66" s="97">
        <f t="shared" ref="G66:G68" si="25">ROUND(F66*0.2,2)</f>
        <v>8816.5300000000007</v>
      </c>
      <c r="H66" s="97">
        <f t="shared" ref="H66:H68" si="26">F66+G66</f>
        <v>52899.19</v>
      </c>
      <c r="I66" s="118"/>
      <c r="J66" s="20"/>
      <c r="K66" s="20"/>
      <c r="L66" s="108"/>
      <c r="M66" s="79"/>
      <c r="N66" s="79"/>
      <c r="O66" s="79"/>
    </row>
    <row r="67" spans="1:15" s="4" customFormat="1" ht="110.25" x14ac:dyDescent="0.25">
      <c r="A67" s="9" t="s">
        <v>1048</v>
      </c>
      <c r="B67" s="85" t="s">
        <v>1050</v>
      </c>
      <c r="C67" s="77" t="s">
        <v>1046</v>
      </c>
      <c r="D67" s="6">
        <v>59154.82</v>
      </c>
      <c r="E67" s="6">
        <v>10633.48</v>
      </c>
      <c r="F67" s="84">
        <f t="shared" si="24"/>
        <v>69788.3</v>
      </c>
      <c r="G67" s="97">
        <f t="shared" si="25"/>
        <v>13957.66</v>
      </c>
      <c r="H67" s="97">
        <f t="shared" si="26"/>
        <v>83745.960000000006</v>
      </c>
      <c r="I67" s="118"/>
      <c r="J67" s="20"/>
      <c r="K67" s="20"/>
      <c r="L67" s="108"/>
      <c r="M67" s="79"/>
      <c r="N67" s="79"/>
      <c r="O67" s="79"/>
    </row>
    <row r="68" spans="1:15" s="4" customFormat="1" ht="78.75" x14ac:dyDescent="0.25">
      <c r="A68" s="9" t="s">
        <v>1049</v>
      </c>
      <c r="B68" s="85" t="s">
        <v>1052</v>
      </c>
      <c r="C68" s="77" t="s">
        <v>1046</v>
      </c>
      <c r="D68" s="6">
        <v>37502.520000000004</v>
      </c>
      <c r="E68" s="6">
        <v>4441.97</v>
      </c>
      <c r="F68" s="84">
        <f t="shared" si="24"/>
        <v>41944.490000000005</v>
      </c>
      <c r="G68" s="97">
        <f t="shared" si="25"/>
        <v>8388.9</v>
      </c>
      <c r="H68" s="97">
        <f t="shared" si="26"/>
        <v>50333.390000000007</v>
      </c>
      <c r="I68" s="118"/>
      <c r="J68" s="20"/>
      <c r="K68" s="20"/>
      <c r="L68" s="108"/>
      <c r="M68" s="79"/>
      <c r="N68" s="79"/>
      <c r="O68" s="79"/>
    </row>
    <row r="69" spans="1:15" s="4" customFormat="1" ht="94.5" x14ac:dyDescent="0.25">
      <c r="A69" s="9" t="s">
        <v>1051</v>
      </c>
      <c r="B69" s="85" t="s">
        <v>1053</v>
      </c>
      <c r="C69" s="77" t="s">
        <v>1046</v>
      </c>
      <c r="D69" s="6">
        <v>59118.090000000004</v>
      </c>
      <c r="E69" s="6">
        <v>8440.49</v>
      </c>
      <c r="F69" s="84">
        <f t="shared" ref="F69" si="27">D69+E69</f>
        <v>67558.58</v>
      </c>
      <c r="G69" s="97">
        <f t="shared" ref="G69" si="28">ROUND(F69*0.2,2)</f>
        <v>13511.72</v>
      </c>
      <c r="H69" s="97">
        <f t="shared" ref="H69" si="29">F69+G69</f>
        <v>81070.3</v>
      </c>
      <c r="I69" s="118"/>
      <c r="J69" s="20"/>
      <c r="K69" s="20"/>
      <c r="L69" s="108"/>
      <c r="M69" s="79"/>
      <c r="N69" s="79"/>
      <c r="O69" s="79"/>
    </row>
    <row r="70" spans="1:15" s="4" customFormat="1" ht="78.75" x14ac:dyDescent="0.25">
      <c r="A70" s="9" t="s">
        <v>1059</v>
      </c>
      <c r="B70" s="85" t="s">
        <v>1056</v>
      </c>
      <c r="C70" s="77" t="s">
        <v>1046</v>
      </c>
      <c r="D70" s="6">
        <v>37456.89</v>
      </c>
      <c r="E70" s="6">
        <v>4441.97</v>
      </c>
      <c r="F70" s="84">
        <f t="shared" ref="F70:F72" si="30">D70+E70</f>
        <v>41898.86</v>
      </c>
      <c r="G70" s="97">
        <f t="shared" ref="G70:G72" si="31">ROUND(F70*0.2,2)</f>
        <v>8379.77</v>
      </c>
      <c r="H70" s="97">
        <f t="shared" ref="H70:H72" si="32">F70+G70</f>
        <v>50278.630000000005</v>
      </c>
      <c r="I70" s="118"/>
      <c r="J70" s="20"/>
      <c r="K70" s="20"/>
      <c r="L70" s="108"/>
      <c r="M70" s="79"/>
      <c r="N70" s="79"/>
      <c r="O70" s="79"/>
    </row>
    <row r="71" spans="1:15" s="4" customFormat="1" ht="94.5" x14ac:dyDescent="0.25">
      <c r="A71" s="9" t="s">
        <v>1060</v>
      </c>
      <c r="B71" s="85" t="s">
        <v>1057</v>
      </c>
      <c r="C71" s="77" t="s">
        <v>1046</v>
      </c>
      <c r="D71" s="6">
        <v>64435.61</v>
      </c>
      <c r="E71" s="6">
        <v>9769.9</v>
      </c>
      <c r="F71" s="84">
        <f t="shared" si="30"/>
        <v>74205.509999999995</v>
      </c>
      <c r="G71" s="97">
        <f t="shared" si="31"/>
        <v>14841.1</v>
      </c>
      <c r="H71" s="97">
        <f t="shared" si="32"/>
        <v>89046.61</v>
      </c>
      <c r="I71" s="118"/>
      <c r="J71" s="20"/>
      <c r="K71" s="20"/>
      <c r="L71" s="108"/>
      <c r="M71" s="79"/>
      <c r="N71" s="79"/>
      <c r="O71" s="79"/>
    </row>
    <row r="72" spans="1:15" s="4" customFormat="1" ht="78.75" x14ac:dyDescent="0.25">
      <c r="A72" s="9" t="s">
        <v>1061</v>
      </c>
      <c r="B72" s="85" t="s">
        <v>1058</v>
      </c>
      <c r="C72" s="77" t="s">
        <v>1046</v>
      </c>
      <c r="D72" s="6">
        <v>38062.93</v>
      </c>
      <c r="E72" s="6">
        <v>4441.97</v>
      </c>
      <c r="F72" s="84">
        <f t="shared" si="30"/>
        <v>42504.9</v>
      </c>
      <c r="G72" s="97">
        <f t="shared" si="31"/>
        <v>8500.98</v>
      </c>
      <c r="H72" s="97">
        <f t="shared" si="32"/>
        <v>51005.880000000005</v>
      </c>
      <c r="I72" s="118"/>
      <c r="J72" s="20"/>
      <c r="K72" s="20"/>
      <c r="L72" s="108"/>
      <c r="M72" s="79"/>
      <c r="N72" s="79"/>
      <c r="O72" s="79"/>
    </row>
    <row r="73" spans="1:15" s="3" customFormat="1" ht="30.75" customHeight="1" x14ac:dyDescent="0.25">
      <c r="A73" s="9" t="s">
        <v>1044</v>
      </c>
      <c r="B73" s="69" t="s">
        <v>432</v>
      </c>
      <c r="C73" s="159" t="s">
        <v>265</v>
      </c>
      <c r="D73" s="159"/>
      <c r="E73" s="159"/>
      <c r="F73" s="159"/>
      <c r="G73" s="159"/>
      <c r="H73" s="159"/>
      <c r="I73" s="122"/>
    </row>
    <row r="74" spans="1:15" s="27" customFormat="1" ht="100.5" customHeight="1" x14ac:dyDescent="0.25">
      <c r="A74" s="165" t="s">
        <v>822</v>
      </c>
      <c r="B74" s="165"/>
      <c r="C74" s="165"/>
      <c r="D74" s="165"/>
      <c r="E74" s="165"/>
      <c r="F74" s="165"/>
      <c r="G74" s="165"/>
      <c r="H74" s="165"/>
      <c r="I74" s="123"/>
    </row>
    <row r="76" spans="1:15" s="25" customFormat="1" x14ac:dyDescent="0.25">
      <c r="A76" s="33"/>
      <c r="B76" s="34"/>
      <c r="C76" s="35"/>
      <c r="D76" s="36"/>
      <c r="E76" s="36"/>
      <c r="F76" s="36"/>
      <c r="G76" s="3"/>
      <c r="H76" s="37"/>
      <c r="I76" s="37"/>
    </row>
    <row r="77" spans="1:15" s="2" customFormat="1" ht="18.75" hidden="1" x14ac:dyDescent="0.25">
      <c r="A77" s="38"/>
      <c r="B77" s="13"/>
      <c r="C77" s="13"/>
      <c r="D77" s="39"/>
      <c r="E77" s="38"/>
      <c r="F77" s="38"/>
      <c r="G77" s="38"/>
      <c r="H77" s="38"/>
      <c r="I77" s="38"/>
    </row>
    <row r="78" spans="1:15" s="2" customFormat="1" ht="18.75" hidden="1" x14ac:dyDescent="0.25">
      <c r="A78" s="38"/>
      <c r="B78" s="13"/>
      <c r="C78" s="13"/>
      <c r="D78" s="13"/>
      <c r="E78" s="38"/>
      <c r="F78" s="39" t="s">
        <v>57</v>
      </c>
      <c r="G78" s="38"/>
      <c r="H78" s="38"/>
      <c r="I78" s="38"/>
    </row>
    <row r="79" spans="1:15" hidden="1" x14ac:dyDescent="0.25"/>
    <row r="80" spans="1:15" hidden="1" x14ac:dyDescent="0.25"/>
    <row r="81" spans="6:6" ht="18.75" hidden="1" x14ac:dyDescent="0.25">
      <c r="F81" s="39" t="s">
        <v>58</v>
      </c>
    </row>
    <row r="82" spans="6:6" hidden="1" x14ac:dyDescent="0.25"/>
    <row r="83" spans="6:6" hidden="1" x14ac:dyDescent="0.25"/>
    <row r="84" spans="6:6" hidden="1" x14ac:dyDescent="0.25"/>
    <row r="85" spans="6:6" hidden="1" x14ac:dyDescent="0.25"/>
  </sheetData>
  <autoFilter ref="A15:WUZ74"/>
  <mergeCells count="19">
    <mergeCell ref="B17:H17"/>
    <mergeCell ref="A9:H9"/>
    <mergeCell ref="A10:H10"/>
    <mergeCell ref="B12:B15"/>
    <mergeCell ref="C12:C15"/>
    <mergeCell ref="D12:H12"/>
    <mergeCell ref="D13:F13"/>
    <mergeCell ref="G13:G15"/>
    <mergeCell ref="H13:H15"/>
    <mergeCell ref="D14:D15"/>
    <mergeCell ref="A12:A15"/>
    <mergeCell ref="E14:E15"/>
    <mergeCell ref="F14:F15"/>
    <mergeCell ref="A74:H74"/>
    <mergeCell ref="C73:H73"/>
    <mergeCell ref="B52:H52"/>
    <mergeCell ref="B57:H57"/>
    <mergeCell ref="B61:H61"/>
    <mergeCell ref="B65:H65"/>
  </mergeCells>
  <pageMargins left="0.70866141732283472" right="0.70866141732283472" top="0.74803149606299213" bottom="0.74803149606299213" header="0.31496062992125984" footer="0.31496062992125984"/>
  <pageSetup paperSize="8" scale="78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Прил_7</vt:lpstr>
      <vt:lpstr>Прил_8 </vt:lpstr>
      <vt:lpstr>Прил_7!Область_печати</vt:lpstr>
      <vt:lpstr>'Прил_8 '!Область_печати</vt:lpstr>
    </vt:vector>
  </TitlesOfParts>
  <Company>Acer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Жукова Светлана Викторовна</cp:lastModifiedBy>
  <cp:lastPrinted>2024-06-25T15:42:13Z</cp:lastPrinted>
  <dcterms:created xsi:type="dcterms:W3CDTF">2012-07-03T04:02:51Z</dcterms:created>
  <dcterms:modified xsi:type="dcterms:W3CDTF">2025-06-26T14:40:24Z</dcterms:modified>
</cp:coreProperties>
</file>